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d54744e7e1bd1f97/Desktop/EXCEL/"/>
    </mc:Choice>
  </mc:AlternateContent>
  <xr:revisionPtr revIDLastSave="1216" documentId="13_ncr:1_{F13947D5-370C-4B25-AF05-66AB1536326A}" xr6:coauthVersionLast="47" xr6:coauthVersionMax="47" xr10:uidLastSave="{946213E9-CC4D-41B9-9E8C-9E084DA09DD8}"/>
  <bookViews>
    <workbookView xWindow="-108" yWindow="-108" windowWidth="23256" windowHeight="12456" activeTab="1" xr2:uid="{F8420BDF-C08E-4FBB-891B-F574F63AC6D0}"/>
  </bookViews>
  <sheets>
    <sheet name="BlinkIT Grocery Data" sheetId="1" r:id="rId1"/>
    <sheet name="Sheet2" sheetId="10" r:id="rId2"/>
    <sheet name="Sheet3" sheetId="11" r:id="rId3"/>
  </sheets>
  <definedNames>
    <definedName name="_xlchart.v2.0" hidden="1">Sheet3!$C$65:$C$67</definedName>
    <definedName name="_xlchart.v2.1" hidden="1">Sheet3!$D$65:$D$67</definedName>
    <definedName name="_xlchart.v2.2" hidden="1">Sheet3!$C$65:$C$67</definedName>
    <definedName name="_xlchart.v2.3" hidden="1">Sheet3!$D$65:$D$67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7" i="11" l="1"/>
  <c r="C66" i="11"/>
  <c r="C65" i="11"/>
  <c r="D67" i="11"/>
  <c r="D66" i="11"/>
  <c r="D65" i="11"/>
  <c r="C13" i="11"/>
  <c r="C6" i="11"/>
  <c r="D6" i="11"/>
  <c r="B6" i="11"/>
  <c r="A6" i="11"/>
</calcChain>
</file>

<file path=xl/sharedStrings.xml><?xml version="1.0" encoding="utf-8"?>
<sst xmlns="http://schemas.openxmlformats.org/spreadsheetml/2006/main" count="59747" uniqueCount="1619">
  <si>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</si>
  <si>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</si>
  <si>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</si>
  <si>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</si>
  <si>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</si>
  <si>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</si>
  <si>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</si>
  <si>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</si>
  <si>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</si>
  <si>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</si>
  <si>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</si>
  <si>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</si>
  <si>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</si>
  <si>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</si>
  <si>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</si>
  <si>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</si>
  <si>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</si>
  <si>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</si>
  <si>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</si>
  <si>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</si>
  <si>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</si>
  <si>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</si>
  <si>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</si>
  <si>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</si>
  <si>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</si>
  <si>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</si>
  <si>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</si>
  <si>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</si>
  <si>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</si>
  <si>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</si>
  <si>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</si>
  <si>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</si>
  <si>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</si>
  <si>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</si>
  <si>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</si>
  <si>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</si>
  <si>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</si>
  <si>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</si>
  <si>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</si>
  <si>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</si>
  <si>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</si>
  <si>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</si>
  <si>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</si>
  <si>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</si>
  <si>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</si>
  <si>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</si>
  <si>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</si>
  <si>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</si>
  <si>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</si>
  <si>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</si>
  <si>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</si>
  <si>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</si>
  <si>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</si>
  <si>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</si>
  <si>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</si>
  <si>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</si>
  <si>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</si>
  <si>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</si>
  <si>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</si>
  <si>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</si>
  <si>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</si>
  <si>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</si>
  <si>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</si>
  <si>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</si>
  <si>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</si>
  <si>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</si>
  <si>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</si>
  <si>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</si>
  <si>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</si>
  <si>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</si>
  <si>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</si>
  <si>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</si>
  <si>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</si>
  <si>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</si>
  <si>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</si>
  <si>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</si>
  <si>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</si>
  <si>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</si>
  <si>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</si>
  <si>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</si>
  <si>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</si>
  <si>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</si>
  <si>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</si>
  <si>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</si>
  <si>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</si>
  <si>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</si>
  <si>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</si>
  <si>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</si>
  <si>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</si>
  <si>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</si>
  <si>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</si>
  <si>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</si>
  <si>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</si>
  <si>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</si>
  <si>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</si>
  <si>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</si>
  <si>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</si>
  <si>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</si>
  <si>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</si>
  <si>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</si>
  <si>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</si>
  <si>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</si>
  <si>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</si>
  <si>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</si>
  <si>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</si>
  <si>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</si>
  <si>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</si>
  <si>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</si>
  <si>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</si>
  <si>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</si>
  <si>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</si>
  <si>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</si>
  <si>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</si>
  <si>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</si>
  <si>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</si>
  <si>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</si>
  <si>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</si>
  <si>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</si>
  <si>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</si>
  <si>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</si>
  <si>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</si>
  <si>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</si>
  <si>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</si>
  <si>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</si>
  <si>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</si>
  <si>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</si>
  <si>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</si>
  <si>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</si>
  <si>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</si>
  <si>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</si>
  <si>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</si>
  <si>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</si>
  <si>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</si>
  <si>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</si>
  <si>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</si>
  <si>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</si>
  <si>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</si>
  <si>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</si>
  <si>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</si>
  <si>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</si>
  <si>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</si>
  <si>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</si>
  <si>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</si>
  <si>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</si>
  <si>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</si>
  <si>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</si>
  <si>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</si>
  <si>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</si>
  <si>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</si>
  <si>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</si>
  <si>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</si>
  <si>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</si>
  <si>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</si>
  <si>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</si>
  <si>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</si>
  <si>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</si>
  <si>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</si>
  <si>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</si>
  <si>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</si>
  <si>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</si>
  <si>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</si>
  <si>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</si>
  <si>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</si>
  <si>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</si>
  <si>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</si>
  <si>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</si>
  <si>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</si>
  <si>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</si>
  <si>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</si>
  <si>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</si>
  <si>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</si>
  <si>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</si>
  <si>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</si>
  <si>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</si>
  <si>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</si>
  <si>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</si>
  <si>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</si>
  <si>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</si>
  <si>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</si>
  <si>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</si>
  <si>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</si>
  <si>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</si>
  <si>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</si>
  <si>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</si>
  <si>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</si>
  <si>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</si>
  <si>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</si>
  <si>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</si>
  <si>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</si>
  <si>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</si>
  <si>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</si>
  <si>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</si>
  <si>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</si>
  <si>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</si>
  <si>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</si>
  <si>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</si>
  <si>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</si>
  <si>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</si>
  <si>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</si>
  <si>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</si>
  <si>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</si>
  <si>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</si>
  <si>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</si>
  <si>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</si>
  <si>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</si>
  <si>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</si>
  <si>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</si>
  <si>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</si>
  <si>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</si>
  <si>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</si>
  <si>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</si>
  <si>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</si>
  <si>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</si>
  <si>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</si>
  <si>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</si>
  <si>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</si>
  <si>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</si>
  <si>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</si>
  <si>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</si>
  <si>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</si>
  <si>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</si>
  <si>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</si>
  <si>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</si>
  <si>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</si>
  <si>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</si>
  <si>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</si>
  <si>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</si>
  <si>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</si>
  <si>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</si>
  <si>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</si>
  <si>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</si>
  <si>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</si>
  <si>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</si>
  <si>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</si>
  <si>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</si>
  <si>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</si>
  <si>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</si>
  <si>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</si>
  <si>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</si>
  <si>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</si>
  <si>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</si>
  <si>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</si>
  <si>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</si>
  <si>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</si>
  <si>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</si>
  <si>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</si>
  <si>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</si>
  <si>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</si>
  <si>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</si>
  <si>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</si>
  <si>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</si>
  <si>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</si>
  <si>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</si>
  <si>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</si>
  <si>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</si>
  <si>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</si>
  <si>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</si>
  <si>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</si>
  <si>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</si>
  <si>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</si>
  <si>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</si>
  <si>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</si>
  <si>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</si>
  <si>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</si>
  <si>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</si>
  <si>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</si>
  <si>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</si>
  <si>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</si>
  <si>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</si>
  <si>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</si>
  <si>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</si>
  <si>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</si>
  <si>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</si>
  <si>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</si>
  <si>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</si>
  <si>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</si>
  <si>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</si>
  <si>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</si>
  <si>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</si>
  <si>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</si>
  <si>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</si>
  <si>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</si>
  <si>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</si>
  <si>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</si>
  <si>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</si>
  <si>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</si>
  <si>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</si>
  <si>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</si>
  <si>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</si>
  <si>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</si>
  <si>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</si>
  <si>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</si>
  <si>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</si>
  <si>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</si>
  <si>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</si>
  <si>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</si>
  <si>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</si>
  <si>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</si>
  <si>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</si>
  <si>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</si>
  <si>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</si>
  <si>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</si>
  <si>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</si>
  <si>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</si>
  <si>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</si>
  <si>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</si>
  <si>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</si>
  <si>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</si>
  <si>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</si>
  <si>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</si>
  <si>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</si>
  <si>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</si>
  <si>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</si>
  <si>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</si>
  <si>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</si>
  <si>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</si>
  <si>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</si>
  <si>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</si>
  <si>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</si>
  <si>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</si>
  <si>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</si>
  <si>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</si>
  <si>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</si>
  <si>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</si>
  <si>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</si>
  <si>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</si>
  <si>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</si>
  <si>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</si>
  <si>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</si>
  <si>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</si>
  <si>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</si>
  <si>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</si>
  <si>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</si>
  <si>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</si>
  <si>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</si>
  <si>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</si>
  <si>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</si>
  <si>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</si>
  <si>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</si>
  <si>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</si>
  <si>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</si>
  <si>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</si>
  <si>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</si>
  <si>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</si>
  <si>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</si>
  <si>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</si>
  <si>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</si>
  <si>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</si>
  <si>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</si>
  <si>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</si>
  <si>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</si>
  <si>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</si>
  <si>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</si>
  <si>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</si>
  <si>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</si>
  <si>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</si>
  <si>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</si>
  <si>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</si>
  <si>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</si>
  <si>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</si>
  <si>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</si>
  <si>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</si>
  <si>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</si>
  <si>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</si>
  <si>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</si>
  <si>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</si>
  <si>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</si>
  <si>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</si>
  <si>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</si>
  <si>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</si>
  <si>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</si>
  <si>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</si>
  <si>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</si>
  <si>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</si>
  <si>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</si>
  <si>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</si>
  <si>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</si>
  <si>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</si>
  <si>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</si>
  <si>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</si>
  <si>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</si>
  <si>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</si>
  <si>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</si>
  <si>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</si>
  <si>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</si>
  <si>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</si>
  <si>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</si>
  <si>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</si>
  <si>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</si>
  <si>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</si>
  <si>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</si>
  <si>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</si>
  <si>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</si>
  <si>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</si>
  <si>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</si>
  <si>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</si>
  <si>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</si>
  <si>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</si>
  <si>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</si>
  <si>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</si>
  <si>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</si>
  <si>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</si>
  <si>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</si>
  <si>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</si>
  <si>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</si>
  <si>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</si>
  <si>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</si>
  <si>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</si>
  <si>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</si>
  <si>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</si>
  <si>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</si>
  <si>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</si>
  <si>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</si>
  <si>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</si>
  <si>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</si>
  <si>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</si>
  <si>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</si>
  <si>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</si>
  <si>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</si>
  <si>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</si>
  <si>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</si>
  <si>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</si>
  <si>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</si>
  <si>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</si>
  <si>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</si>
  <si>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</si>
  <si>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</si>
  <si>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</si>
  <si>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</si>
  <si>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</si>
  <si>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</si>
  <si>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</si>
  <si>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</si>
  <si>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</si>
  <si>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</si>
  <si>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</si>
  <si>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</si>
  <si>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</si>
  <si>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</si>
  <si>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</si>
  <si>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</si>
  <si>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</si>
  <si>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</si>
  <si>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</si>
  <si>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</si>
  <si>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</si>
  <si>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</si>
  <si>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</si>
  <si>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</si>
  <si>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</si>
  <si>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</si>
  <si>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</si>
  <si>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</si>
  <si>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</si>
  <si>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</si>
  <si>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</si>
  <si>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</si>
  <si>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</si>
  <si>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</si>
  <si>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</si>
  <si>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</si>
  <si>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</si>
  <si>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</si>
  <si>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</si>
  <si>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</si>
  <si>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</si>
  <si>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</si>
  <si>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</si>
  <si>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</si>
  <si>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</si>
  <si>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</si>
  <si>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</si>
  <si>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</si>
  <si>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</si>
  <si>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</si>
  <si>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</si>
  <si>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</si>
  <si>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</si>
  <si>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</si>
  <si>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</si>
  <si>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</si>
  <si>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</si>
  <si>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</si>
  <si>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</si>
  <si>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</si>
  <si>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</si>
  <si>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</si>
  <si>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</si>
  <si>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</si>
  <si>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</si>
  <si>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</si>
  <si>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</si>
  <si>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</si>
  <si>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</si>
  <si>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</si>
  <si>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</si>
  <si>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</si>
  <si>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</si>
  <si>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</si>
  <si>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</si>
  <si>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</si>
  <si>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</si>
  <si>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</si>
  <si>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</si>
  <si>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</si>
  <si>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</si>
  <si>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</si>
  <si>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</si>
  <si>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</si>
  <si>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</si>
  <si>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</si>
  <si>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</si>
  <si>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</si>
  <si>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</si>
  <si>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</si>
  <si>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</si>
  <si>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</si>
  <si>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</si>
  <si>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</si>
  <si>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</si>
  <si>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</si>
  <si>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</si>
  <si>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</si>
  <si>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</si>
  <si>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</si>
  <si>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</si>
  <si>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</si>
  <si>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</si>
  <si>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</si>
  <si>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</si>
  <si>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</si>
  <si>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</si>
  <si>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</si>
  <si>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</si>
  <si>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</si>
  <si>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</si>
  <si>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</si>
  <si>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</si>
  <si>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</si>
  <si>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</si>
  <si>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</si>
  <si>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</si>
  <si>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</si>
  <si>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</si>
  <si>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</si>
  <si>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</si>
  <si>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</si>
  <si>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</si>
  <si>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</si>
  <si>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</si>
  <si>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</si>
  <si>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</si>
  <si>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</si>
  <si>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</si>
  <si>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</si>
  <si>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</si>
  <si>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</si>
  <si>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</si>
  <si>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</si>
  <si>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</si>
  <si>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</si>
  <si>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</si>
  <si>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</si>
  <si>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</si>
  <si>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</si>
  <si>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</si>
  <si>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</si>
  <si>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</si>
  <si>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</si>
  <si>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</si>
  <si>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</si>
  <si>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</si>
  <si>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</si>
  <si>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</si>
  <si>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</si>
  <si>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</si>
  <si>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</si>
  <si>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</si>
  <si>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</si>
  <si>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</si>
  <si>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</si>
  <si>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</si>
  <si>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</si>
  <si>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</si>
  <si>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</si>
  <si>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</si>
  <si>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</si>
  <si>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</si>
  <si>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</si>
  <si>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</si>
  <si>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</si>
  <si>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</si>
  <si>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</si>
  <si>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</si>
  <si>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</si>
  <si>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</si>
  <si>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</si>
  <si>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</si>
  <si>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</si>
  <si>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</si>
  <si>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</si>
  <si>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</si>
  <si>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</si>
  <si>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</si>
  <si>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</si>
  <si>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</si>
  <si>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</si>
  <si>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</si>
  <si>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</si>
  <si>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</si>
  <si>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</si>
  <si>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</si>
  <si>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</si>
  <si>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</si>
  <si>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</si>
  <si>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</si>
  <si>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</si>
  <si>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</si>
  <si>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</si>
  <si>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</si>
  <si>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</si>
  <si>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</si>
  <si>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</si>
  <si>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</si>
  <si>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</si>
  <si>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</si>
  <si>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</si>
  <si>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</si>
  <si>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</si>
  <si>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</si>
  <si>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</si>
  <si>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</si>
  <si>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</si>
  <si>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</si>
  <si>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</si>
  <si>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</si>
  <si>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</si>
  <si>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</si>
  <si>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</si>
  <si>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</si>
  <si>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</si>
  <si>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</si>
  <si>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</si>
  <si>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</si>
  <si>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</si>
  <si>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</si>
  <si>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</si>
  <si>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</si>
  <si>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</si>
  <si>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</si>
  <si>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</si>
  <si>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</si>
  <si>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</si>
  <si>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</si>
  <si>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</si>
  <si>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</si>
  <si>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</si>
  <si>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</si>
  <si>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</si>
  <si>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</si>
  <si>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</si>
  <si>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</si>
  <si>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</si>
  <si>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</si>
  <si>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</si>
  <si>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</si>
  <si>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</si>
  <si>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</si>
  <si>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</si>
  <si>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</si>
  <si>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</si>
  <si>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</si>
  <si>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</si>
  <si>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</si>
  <si>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</si>
  <si>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</si>
  <si>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</si>
  <si>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</si>
  <si>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</si>
  <si>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</si>
  <si>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</si>
  <si>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</si>
  <si>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</si>
  <si>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</si>
  <si>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</si>
  <si>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</si>
  <si>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</si>
  <si>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</si>
  <si>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</si>
  <si>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</si>
  <si>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</si>
  <si>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</si>
  <si>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</si>
  <si>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</si>
  <si>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</si>
  <si>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</si>
  <si>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</si>
  <si>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</si>
  <si>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</si>
  <si>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</si>
  <si>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</si>
  <si>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</si>
  <si>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</si>
  <si>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</si>
  <si>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</si>
  <si>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</si>
  <si>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</si>
  <si>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</si>
  <si>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</si>
  <si>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</si>
  <si>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</si>
  <si>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</si>
  <si>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</si>
  <si>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</si>
  <si>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</si>
  <si>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</si>
  <si>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</si>
  <si>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</si>
  <si>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</si>
  <si>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</si>
  <si>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</si>
  <si>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</si>
  <si>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</si>
  <si>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</si>
  <si>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</si>
  <si>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</si>
  <si>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</si>
  <si>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</si>
  <si>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</si>
  <si>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</si>
  <si>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</si>
  <si>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</si>
  <si>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</si>
  <si>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</si>
  <si>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</si>
  <si>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</si>
  <si>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</si>
  <si>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</si>
  <si>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</si>
  <si>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</si>
  <si>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</si>
  <si>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</si>
  <si>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</si>
  <si>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</si>
  <si>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</si>
  <si>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</si>
  <si>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</si>
  <si>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</si>
  <si>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</si>
  <si>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</si>
  <si>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</si>
  <si>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</si>
  <si>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</si>
  <si>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</si>
  <si>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</si>
  <si>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</si>
  <si>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</si>
  <si>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</si>
  <si>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</si>
  <si>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</si>
  <si>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</si>
  <si>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</si>
  <si>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</si>
  <si>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</si>
  <si>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</si>
  <si>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</si>
  <si>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</si>
  <si>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</si>
  <si>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</si>
  <si>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</si>
  <si>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</si>
  <si>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</si>
  <si>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</si>
  <si>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</si>
  <si>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</si>
  <si>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</si>
  <si>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</si>
  <si>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</si>
  <si>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</si>
  <si>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</si>
  <si>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</si>
  <si>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</si>
  <si>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</si>
  <si>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</si>
  <si>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</si>
  <si>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</si>
  <si>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</si>
  <si>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</si>
  <si>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</si>
  <si>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</si>
  <si>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</si>
  <si>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</si>
  <si>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</si>
  <si>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</si>
  <si>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</si>
  <si>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</si>
  <si>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</si>
  <si>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</si>
  <si>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</si>
  <si>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</si>
  <si>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</si>
  <si>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</si>
  <si>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</si>
  <si>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</si>
  <si>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</si>
  <si>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</si>
  <si>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</si>
  <si>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</si>
  <si>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</si>
  <si>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</si>
  <si>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</si>
  <si>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</si>
  <si>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</si>
  <si>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</si>
  <si>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</si>
  <si>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</si>
  <si>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</si>
  <si>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</si>
  <si>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</si>
  <si>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</si>
  <si>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</si>
  <si>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</si>
  <si>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</si>
  <si>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</si>
  <si>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</si>
  <si>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</si>
  <si>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</si>
  <si>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</si>
  <si>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</si>
  <si>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</si>
  <si>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</si>
  <si>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</si>
  <si>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</si>
  <si>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</si>
  <si>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</si>
  <si>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</si>
  <si>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</si>
  <si>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</si>
  <si>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</si>
  <si>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</si>
  <si>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</si>
  <si>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</si>
  <si>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</si>
  <si>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</si>
  <si>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</si>
  <si>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</si>
  <si>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</si>
  <si>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</si>
  <si>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</si>
  <si>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</si>
  <si>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</si>
  <si>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</si>
  <si>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</si>
  <si>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</si>
  <si>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</si>
  <si>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</si>
  <si>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</si>
  <si>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</si>
  <si>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</si>
  <si>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</si>
  <si>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</si>
  <si>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</si>
  <si>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</si>
  <si>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</si>
  <si>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</si>
  <si>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</si>
  <si>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</si>
  <si>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</si>
  <si>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</si>
  <si>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</si>
  <si>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</si>
  <si>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</si>
  <si>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</si>
  <si>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</si>
  <si>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</si>
  <si>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</si>
  <si>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</si>
  <si>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</si>
  <si>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</si>
  <si>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</si>
  <si>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</si>
  <si>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</si>
  <si>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</si>
  <si>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</si>
  <si>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</si>
  <si>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</si>
  <si>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</si>
  <si>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</si>
  <si>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</si>
  <si>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</si>
  <si>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</si>
  <si>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</si>
  <si>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</si>
  <si>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</si>
  <si>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</si>
  <si>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</si>
  <si>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</si>
  <si>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</si>
  <si>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</si>
  <si>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</si>
  <si>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</si>
  <si>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</si>
  <si>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</si>
  <si>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</si>
  <si>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</si>
  <si>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</si>
  <si>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</si>
  <si>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</si>
  <si>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</si>
  <si>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</si>
  <si>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</si>
  <si>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</si>
  <si>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</si>
  <si>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</si>
  <si>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</si>
  <si>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</si>
  <si>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</si>
  <si>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</si>
  <si>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</si>
  <si>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</si>
  <si>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</si>
  <si>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</si>
  <si>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</si>
  <si>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</si>
  <si>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</si>
  <si>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</si>
  <si>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</si>
  <si>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</si>
  <si>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</si>
  <si>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</si>
  <si>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</si>
  <si>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</si>
  <si>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</si>
  <si>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</si>
  <si>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</si>
  <si>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</si>
  <si>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</si>
  <si>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</si>
  <si>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</si>
  <si>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</si>
  <si>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</si>
  <si>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</si>
  <si>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</si>
  <si>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</si>
  <si>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</si>
  <si>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</si>
  <si>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</si>
  <si>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</si>
  <si>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</si>
  <si>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</si>
  <si>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</si>
  <si>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</si>
  <si>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</si>
  <si>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</si>
  <si>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</si>
  <si>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</si>
  <si>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</si>
  <si>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</si>
  <si>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</si>
  <si>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</si>
  <si>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</si>
  <si>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</si>
  <si>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</si>
  <si>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</si>
  <si>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</si>
  <si>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</si>
  <si>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</si>
  <si>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</si>
  <si>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</si>
  <si>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</si>
  <si>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</si>
  <si>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</si>
  <si>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</si>
  <si>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</si>
  <si>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</si>
  <si>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</si>
  <si>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</si>
  <si>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</si>
  <si>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</si>
  <si>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</si>
  <si>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</si>
  <si>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</si>
  <si>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</si>
  <si>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</si>
  <si>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</si>
  <si>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</si>
  <si>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</si>
  <si>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</si>
  <si>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</si>
  <si>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</si>
  <si>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</si>
  <si>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</si>
  <si>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</si>
  <si>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</si>
  <si>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</si>
  <si>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</si>
  <si>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</si>
  <si>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</si>
  <si>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</si>
  <si>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</si>
  <si>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</si>
  <si>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</si>
  <si>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</si>
  <si>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</si>
  <si>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</si>
  <si>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</si>
  <si>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</si>
  <si>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</si>
  <si>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</si>
  <si>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</si>
  <si>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</si>
  <si>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</si>
  <si>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</si>
  <si>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</si>
  <si>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</si>
  <si>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</si>
  <si>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</si>
  <si>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</si>
  <si>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</si>
  <si>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</si>
  <si>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</si>
  <si>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</si>
  <si>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</si>
  <si>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</si>
  <si>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</si>
  <si>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</si>
  <si>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</si>
  <si>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</si>
  <si>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</si>
  <si>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</si>
  <si>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</si>
  <si>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</si>
  <si>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</si>
  <si>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</si>
  <si>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</si>
  <si>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</si>
  <si>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</si>
  <si>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</si>
  <si>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</si>
  <si>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</si>
  <si>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</si>
  <si>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</si>
  <si>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</si>
  <si>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</si>
  <si>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</si>
  <si>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</si>
  <si>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</si>
  <si>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</si>
  <si>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</si>
  <si>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</si>
  <si>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</si>
  <si>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</si>
  <si>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</si>
  <si>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</si>
  <si>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</si>
  <si>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</si>
  <si>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</si>
  <si>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</si>
  <si>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</si>
  <si>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</si>
  <si>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</si>
  <si>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</si>
  <si>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</si>
  <si>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</si>
  <si>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</si>
  <si>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</si>
  <si>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</si>
  <si>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</si>
  <si>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</si>
  <si>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</si>
  <si>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</si>
  <si>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</si>
  <si>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</si>
  <si>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</si>
  <si>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</si>
  <si>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</si>
  <si>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</si>
  <si>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</si>
  <si>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</si>
  <si>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</si>
  <si>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</si>
  <si>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</si>
  <si>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</si>
  <si>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</si>
  <si>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</si>
  <si>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</si>
  <si>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</si>
  <si>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</si>
  <si>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</si>
  <si>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</si>
  <si>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</si>
  <si>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</si>
  <si>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</si>
  <si>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</si>
  <si>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</si>
  <si>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</si>
  <si>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</si>
  <si>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</si>
  <si>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</si>
  <si>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</si>
  <si>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</si>
  <si>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</si>
  <si>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</si>
  <si>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</si>
  <si>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</si>
  <si>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</si>
  <si>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</si>
  <si>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</si>
  <si>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</si>
  <si>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</si>
  <si>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</si>
  <si>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</si>
  <si>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</si>
  <si>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</si>
  <si>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</si>
  <si>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</si>
  <si>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</si>
  <si>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</si>
  <si>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</si>
  <si>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</si>
  <si>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</si>
  <si>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</si>
  <si>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</si>
  <si>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</si>
  <si>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</si>
  <si>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</si>
  <si>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</si>
  <si>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</si>
  <si>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</si>
  <si>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</si>
  <si>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</si>
  <si>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</si>
  <si>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</si>
  <si>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</si>
  <si>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</si>
  <si>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</si>
  <si>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</si>
  <si>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</si>
  <si>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</si>
  <si>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</si>
  <si>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</si>
  <si>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</si>
  <si>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</si>
  <si>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</si>
  <si>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</si>
  <si>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</si>
  <si>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</si>
  <si>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</si>
  <si>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</si>
  <si>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</si>
  <si>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</si>
  <si>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</si>
  <si>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</si>
  <si>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</si>
  <si>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</si>
  <si>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</si>
  <si>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</si>
  <si>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</si>
  <si>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</si>
  <si>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</si>
  <si>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</si>
  <si>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</si>
  <si>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</si>
  <si>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</si>
  <si>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</si>
  <si>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</si>
  <si>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</si>
  <si>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</si>
  <si>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</si>
  <si>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</si>
  <si>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</si>
  <si>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</si>
  <si>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</si>
  <si>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</si>
  <si>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</si>
  <si>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</si>
  <si>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</si>
  <si>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</si>
  <si>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</si>
  <si>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</si>
  <si>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</si>
  <si>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</si>
  <si>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</si>
  <si>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</si>
  <si>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</si>
  <si>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</si>
  <si>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</si>
  <si>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</si>
  <si>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</si>
  <si>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</si>
  <si>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</si>
  <si>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</si>
  <si>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</si>
  <si>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</si>
  <si>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</si>
  <si>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</si>
  <si>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</si>
  <si>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</si>
  <si>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</si>
  <si>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</si>
  <si>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</si>
  <si>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</si>
  <si>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</si>
  <si>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</si>
  <si>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</si>
  <si>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</si>
  <si>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</si>
  <si>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</si>
  <si>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</si>
  <si>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</si>
  <si>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</si>
  <si>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</si>
  <si>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</si>
  <si>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</si>
  <si>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</si>
  <si>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</si>
  <si>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</si>
  <si>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</si>
  <si>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</si>
  <si>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</si>
  <si>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</si>
  <si>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</si>
  <si>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</si>
  <si>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</si>
  <si>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</si>
  <si>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</si>
  <si>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</si>
  <si>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</si>
  <si>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</si>
  <si>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</si>
  <si>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</si>
  <si>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</si>
  <si>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</si>
  <si>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</si>
  <si>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</si>
  <si>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</si>
  <si>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</si>
  <si>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</si>
  <si>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</si>
  <si>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</si>
  <si>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</si>
  <si>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</si>
  <si>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</si>
  <si>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</si>
  <si>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</si>
  <si>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</si>
  <si>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</si>
  <si>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</si>
  <si>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</si>
  <si>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</si>
  <si>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</si>
  <si>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</si>
  <si>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</si>
  <si>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</si>
  <si>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</si>
  <si>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</si>
  <si>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</si>
  <si>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</si>
  <si>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</si>
  <si>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</si>
  <si>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</si>
  <si>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</si>
  <si>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</si>
  <si>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</si>
  <si>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</si>
  <si>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</si>
  <si>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</si>
  <si>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</si>
  <si>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</si>
  <si>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</si>
  <si>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</si>
  <si>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</si>
  <si>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</si>
  <si>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</si>
  <si>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</si>
  <si>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</si>
  <si>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</si>
  <si>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</si>
  <si>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</si>
  <si>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</si>
  <si>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</si>
  <si>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</si>
  <si>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</si>
  <si>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</si>
  <si>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</si>
  <si>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</si>
  <si>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</si>
  <si>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</si>
  <si>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</si>
  <si>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</si>
  <si>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</si>
  <si>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</si>
  <si>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</si>
  <si>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</si>
  <si>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</si>
  <si>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</si>
  <si>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</si>
  <si>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</si>
  <si>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</si>
  <si>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</si>
  <si>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</si>
  <si>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</si>
  <si>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</si>
  <si>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</si>
  <si>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</si>
  <si>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</si>
  <si>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</si>
  <si>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</si>
  <si>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</si>
  <si>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</si>
  <si>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</si>
  <si>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</si>
  <si>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</si>
  <si>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</si>
  <si>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</si>
  <si>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</si>
  <si>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</si>
  <si>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</si>
  <si>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</si>
  <si>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</si>
  <si>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</si>
  <si>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</si>
  <si>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</si>
  <si>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</si>
  <si>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</si>
  <si>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</si>
  <si>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</si>
  <si>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</si>
  <si>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</si>
  <si>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</si>
  <si>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</si>
  <si>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</si>
  <si>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</si>
  <si>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</si>
  <si>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</si>
  <si>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</si>
  <si>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</si>
  <si>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</si>
  <si>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</si>
  <si>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</si>
  <si>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</si>
  <si>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</si>
  <si>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</si>
  <si>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</si>
  <si>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</si>
  <si>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</si>
  <si>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</si>
  <si>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</si>
  <si>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</si>
  <si>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</si>
  <si>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</si>
  <si>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</si>
  <si>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</si>
  <si>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</si>
  <si>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</si>
  <si>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</si>
  <si>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</si>
  <si>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</si>
  <si>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</si>
  <si>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</si>
  <si>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</si>
  <si>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</si>
  <si>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</si>
  <si>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</si>
  <si>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</si>
  <si>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</si>
  <si>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</si>
  <si>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</si>
  <si>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</si>
  <si>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</si>
  <si>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</si>
  <si>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</si>
  <si>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</si>
  <si>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</si>
  <si>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</si>
  <si>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</si>
  <si>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</si>
  <si>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</si>
  <si>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</si>
  <si>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</si>
  <si>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</si>
  <si>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</si>
  <si>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</si>
  <si>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</si>
  <si>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</si>
  <si>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</si>
  <si>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</si>
  <si>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</si>
  <si>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</si>
  <si>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</si>
  <si>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</si>
  <si>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</si>
  <si>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</si>
  <si>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</si>
  <si>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</si>
  <si>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</si>
  <si>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</si>
  <si>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</si>
  <si>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</si>
  <si>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</si>
  <si>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</si>
  <si>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</si>
  <si>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</si>
  <si>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</si>
  <si>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</si>
  <si>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</si>
  <si>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</si>
  <si>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</si>
  <si>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</si>
  <si>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</si>
  <si>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</si>
  <si>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</si>
  <si>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</si>
  <si>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</si>
  <si>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</si>
  <si>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</si>
  <si>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</si>
  <si>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</si>
  <si>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</si>
  <si>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</si>
  <si>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</si>
  <si>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</si>
  <si>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</si>
  <si>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</si>
  <si>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</si>
  <si>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</si>
  <si>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</si>
  <si>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</si>
  <si>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</si>
  <si>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</si>
  <si>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</si>
  <si>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</si>
  <si>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</si>
  <si>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</si>
  <si>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</si>
  <si>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</si>
  <si>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</si>
  <si>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</si>
  <si>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</si>
  <si>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</si>
  <si>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</si>
  <si>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</si>
  <si>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</si>
  <si>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</si>
  <si>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</si>
  <si>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</si>
  <si>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</si>
  <si>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</si>
  <si>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</si>
  <si>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</si>
  <si>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</si>
  <si>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</si>
  <si>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</si>
  <si>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</si>
  <si>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</si>
  <si>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</si>
  <si>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</si>
  <si>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</si>
  <si>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</si>
  <si>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</si>
  <si>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</si>
  <si>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</si>
  <si>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</si>
  <si>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</si>
  <si>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</si>
  <si>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</si>
  <si>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</si>
  <si>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</si>
  <si>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</si>
  <si>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</si>
  <si>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</si>
  <si>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</si>
  <si>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</si>
  <si>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</si>
  <si>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</si>
  <si>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</si>
  <si>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</si>
  <si>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</si>
  <si>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</si>
  <si>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</si>
  <si>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</si>
  <si>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</si>
  <si>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</si>
  <si>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</si>
  <si>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</si>
  <si>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</si>
  <si>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</si>
  <si>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</si>
  <si>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</si>
  <si>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</si>
  <si>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</si>
  <si>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</si>
  <si>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</si>
  <si>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</si>
  <si>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</si>
  <si>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</si>
  <si>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</si>
  <si>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</si>
  <si>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</si>
  <si>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</si>
  <si>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</si>
  <si>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</si>
  <si>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</si>
  <si>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</si>
  <si>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</si>
  <si>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</si>
  <si>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</si>
  <si>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</si>
  <si>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</si>
  <si>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</si>
  <si>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</si>
  <si>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</si>
  <si>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</si>
  <si>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</si>
  <si>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</si>
  <si>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</si>
  <si>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</si>
  <si>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</si>
  <si>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</si>
  <si>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</si>
  <si>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</si>
  <si>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</si>
  <si>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</si>
  <si>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</si>
  <si>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</si>
  <si>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</si>
  <si>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</si>
  <si>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</si>
  <si>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</si>
  <si>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</si>
  <si>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</si>
  <si>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</si>
  <si>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</si>
  <si>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</si>
  <si>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</si>
  <si>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</si>
  <si>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</si>
  <si>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</si>
  <si>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</si>
  <si>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</si>
  <si>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</si>
  <si>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</si>
  <si>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</si>
  <si>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</si>
  <si>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</si>
  <si>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</si>
  <si>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</si>
  <si>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</si>
  <si>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</si>
  <si>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</si>
  <si>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</si>
  <si>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</si>
  <si>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</si>
  <si>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</si>
  <si>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</si>
  <si>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</si>
  <si>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</si>
  <si>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</si>
  <si>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</si>
  <si>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</si>
  <si>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</si>
  <si>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</si>
  <si>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</si>
  <si>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</si>
  <si>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</si>
  <si>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</si>
  <si>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</si>
  <si>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</si>
  <si>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</si>
  <si>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</si>
  <si>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</si>
  <si>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</si>
  <si>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</si>
  <si>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</si>
  <si>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</si>
  <si>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</si>
  <si>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</si>
  <si>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</si>
  <si>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</si>
  <si>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</si>
  <si>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</si>
  <si>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</si>
  <si>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</si>
  <si>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</si>
  <si>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</si>
  <si>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</si>
  <si>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</si>
  <si>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</si>
  <si>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</si>
  <si>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</si>
  <si>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</si>
  <si>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</si>
  <si>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</si>
  <si>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</si>
  <si>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</si>
  <si>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</si>
  <si>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</si>
  <si>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</si>
  <si>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</si>
  <si>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</si>
  <si>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</si>
  <si>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</si>
  <si>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</si>
  <si>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</si>
  <si>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</si>
  <si>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</si>
  <si>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</si>
  <si>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</si>
  <si>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</si>
  <si>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</si>
  <si>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</si>
  <si>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</si>
  <si>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Count of Item Identifier</t>
  </si>
  <si>
    <t>Average of Rating</t>
  </si>
  <si>
    <t>Row Labels</t>
  </si>
  <si>
    <t>Grand Total</t>
  </si>
  <si>
    <t>Column Labels</t>
  </si>
  <si>
    <t>Average of Sales</t>
  </si>
  <si>
    <t>Count of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</si>
</sst>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quot;$&quot;0.00,,&quot;M&quot;"/>
    <numFmt numFmtId="165" formatCode="0.0"/>
    <numFmt numFmtId="166" formatCode="&quot;$&quot;0.0"/>
    <numFmt numFmtId="167" formatCode="&quot;$&quot;0.00,\1&quot;K&quot;"/>
    <numFmt numFmtId="168" formatCode="&quot;$&quot;0.0,&quot;M&quot;"/>
    <numFmt numFmtId="169" formatCode="&quot;$&quot;0.00,&quot;M&quot;"/>
    <numFmt numFmtId="170" formatCode="&quot;$&quot;0.0,&quot;k&quot;"/>
    <numFmt numFmtId="171" formatCode="&quot;$&quot;0.0,&quot;K&quot;"/>
    <numFmt numFmtId="172" formatCode="&quot;$&quot;0.00,&quot;K&quot;"/>
    <numFmt numFmtId="173" formatCode="&quot;$&quot;0.0&quot;K&quot;"/>
    <numFmt numFmtId="174"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71" formatCode="&quot;$&quot;0.0,&quot;K&quot;"/>
    </dxf>
    <dxf>
      <numFmt numFmtId="171" formatCode="&quot;$&quot;0.0,&quot;K&quot;"/>
    </dxf>
    <dxf>
      <numFmt numFmtId="165" formatCode="0.0"/>
    </dxf>
    <dxf>
      <numFmt numFmtId="166" formatCode="&quot;$&quot;0.0"/>
    </dxf>
    <dxf>
      <numFmt numFmtId="164" formatCode="&quot;$&quot;0.00,,&quot;M&quot;"/>
    </dxf>
    <dxf>
      <numFmt numFmtId="164" formatCode="&quot;$&quot;0.00,,&quot;M&quot;"/>
    </dxf>
    <dxf>
      <numFmt numFmtId="167" formatCode="&quot;$&quot;0.00,\1&quot;K&quot;"/>
    </dxf>
    <dxf>
      <numFmt numFmtId="170" formatCode="&quot;$&quot;0.0,&quot;k&quot;"/>
    </dxf>
    <dxf>
      <numFmt numFmtId="174" formatCode="&quot;$&quot;000&quot;K&quot;"/>
    </dxf>
    <dxf>
      <numFmt numFmtId="172" formatCode="&quot;$&quot;0.00,&quot;K&quot;"/>
    </dxf>
    <dxf>
      <numFmt numFmtId="171" formatCode="&quot;$&quot;0.0,&quot;K&quot;"/>
    </dxf>
    <dxf>
      <numFmt numFmtId="172" formatCode="&quot;$&quot;0.00,&quot;K&quot;"/>
    </dxf>
    <dxf>
      <numFmt numFmtId="173" formatCode="&quot;$&quot;0.0&quot;K&quot;"/>
    </dxf>
    <dxf>
      <numFmt numFmtId="172" formatCode="&quot;$&quot;0.00,&quot;K&quot;"/>
    </dxf>
    <dxf>
      <numFmt numFmtId="169" formatCode="&quot;$&quot;0.00,&quot;M&quot;"/>
    </dxf>
    <dxf>
      <numFmt numFmtId="168" formatCode="&quot;$&quot;0.0,&quot;M&quot;"/>
    </dxf>
    <dxf>
      <font>
        <b/>
        <color theme="1"/>
      </font>
      <border>
        <bottom style="thin">
          <color theme="5"/>
        </bottom>
        <vertical/>
        <horizontal/>
      </border>
    </dxf>
    <dxf>
      <font>
        <strike val="0"/>
        <color rgb="FFFFC000"/>
      </font>
      <fill>
        <patternFill>
          <bgColor rgb="FFFFC000"/>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Light2 2" pivot="0" table="0" count="10" xr9:uid="{21CC78FC-787D-4099-8C79-2E4F991F2178}">
      <tableStyleElement type="wholeTable" dxfId="17"/>
      <tableStyleElement type="headerRow" dxfId="16"/>
    </tableStyle>
  </tableStyles>
  <colors>
    <mruColors>
      <color rgb="FFFF9933"/>
      <color rgb="FFFFD200"/>
      <color rgb="FFFFCC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Excel.xlsx]Sheet3!PivotTable3</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6.6666666666666666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944444444444444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4444444444444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66666666666666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8.9129311591956514E-2"/>
              <c:y val="-5.0301905267023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6.6666666666666666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66755533511067"/>
          <c:y val="0.22178681680334"/>
          <c:w val="0.55321057308781285"/>
          <c:h val="0.72805951069587804"/>
        </c:manualLayout>
      </c:layout>
      <c:doughnutChart>
        <c:varyColors val="1"/>
        <c:ser>
          <c:idx val="0"/>
          <c:order val="0"/>
          <c:tx>
            <c:strRef>
              <c:f>Sheet3!$B$10</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E8E2-4E17-A501-0A65993CA86A}"/>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E8E2-4E17-A501-0A65993CA86A}"/>
              </c:ext>
            </c:extLst>
          </c:dPt>
          <c:dLbls>
            <c:dLbl>
              <c:idx val="0"/>
              <c:layout>
                <c:manualLayout>
                  <c:x val="-8.9129311591956514E-2"/>
                  <c:y val="-5.0301905267023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E2-4E17-A501-0A65993CA86A}"/>
                </c:ext>
              </c:extLst>
            </c:dLbl>
            <c:dLbl>
              <c:idx val="1"/>
              <c:layout>
                <c:manualLayout>
                  <c:x val="-6.6666666666666666E-2"/>
                  <c:y val="-6.0185185185185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E2-4E17-A501-0A65993CA86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Sheet3!$A$11:$A$13</c:f>
              <c:strCache>
                <c:ptCount val="2"/>
                <c:pt idx="0">
                  <c:v>Low Fat</c:v>
                </c:pt>
                <c:pt idx="1">
                  <c:v>Regular</c:v>
                </c:pt>
              </c:strCache>
            </c:strRef>
          </c:cat>
          <c:val>
            <c:numRef>
              <c:f>Sheet3!$B$11:$B$13</c:f>
              <c:numCache>
                <c:formatCode>"$"0.00,\1"K"</c:formatCode>
                <c:ptCount val="2"/>
                <c:pt idx="0">
                  <c:v>776319.68840000057</c:v>
                </c:pt>
                <c:pt idx="1">
                  <c:v>425361.8043999995</c:v>
                </c:pt>
              </c:numCache>
            </c:numRef>
          </c:val>
          <c:extLst>
            <c:ext xmlns:c16="http://schemas.microsoft.com/office/drawing/2014/chart" uri="{C3380CC4-5D6E-409C-BE32-E72D297353CC}">
              <c16:uniqueId val="{00000004-E8E2-4E17-A501-0A65993CA86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Excel.xlsx]Sheet3!PivotTable4</c:name>
    <c:fmtId val="21"/>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974091948183894"/>
          <c:y val="5.3146577831617199E-2"/>
          <c:w val="0.43466419016171365"/>
          <c:h val="0.86827716807419797"/>
        </c:manualLayout>
      </c:layout>
      <c:barChart>
        <c:barDir val="bar"/>
        <c:grouping val="clustered"/>
        <c:varyColors val="0"/>
        <c:ser>
          <c:idx val="0"/>
          <c:order val="0"/>
          <c:tx>
            <c:strRef>
              <c:f>Sheet3!$B$16</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Sheet3!$A$17:$A$33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Sheet3!$B$17:$B$33</c:f>
              <c:numCache>
                <c:formatCode>"$"0.0,"M"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CD0-4CF2-8E76-8AE1841955D4}"/>
            </c:ext>
          </c:extLst>
        </c:ser>
        <c:dLbls>
          <c:dLblPos val="outEnd"/>
          <c:showLegendKey val="0"/>
          <c:showVal val="1"/>
          <c:showCatName val="0"/>
          <c:showSerName val="0"/>
          <c:showPercent val="0"/>
          <c:showBubbleSize val="0"/>
        </c:dLbls>
        <c:gapWidth val="182"/>
        <c:axId val="1170019376"/>
        <c:axId val="1170019856"/>
      </c:barChart>
      <c:catAx>
        <c:axId val="117001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19856"/>
        <c:crosses val="autoZero"/>
        <c:auto val="1"/>
        <c:lblAlgn val="ctr"/>
        <c:lblOffset val="100"/>
        <c:noMultiLvlLbl val="0"/>
      </c:catAx>
      <c:valAx>
        <c:axId val="1170019856"/>
        <c:scaling>
          <c:orientation val="minMax"/>
        </c:scaling>
        <c:delete val="1"/>
        <c:axPos val="b"/>
        <c:numFmt formatCode="&quot;$&quot;0.0,&quot;M&quot;" sourceLinked="1"/>
        <c:majorTickMark val="none"/>
        <c:minorTickMark val="none"/>
        <c:tickLblPos val="nextTo"/>
        <c:crossAx val="117001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Excel.xlsx]Sheet3!PivotTable5</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1736657917759"/>
          <c:y val="0.15740740740740741"/>
          <c:w val="0.68927493438320209"/>
          <c:h val="0.84259259259259256"/>
        </c:manualLayout>
      </c:layout>
      <c:barChart>
        <c:barDir val="bar"/>
        <c:grouping val="clustered"/>
        <c:varyColors val="0"/>
        <c:ser>
          <c:idx val="0"/>
          <c:order val="0"/>
          <c:tx>
            <c:strRef>
              <c:f>Sheet3!$B$36:$B$37</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Sheet3!$A$38:$A$41</c:f>
              <c:strCache>
                <c:ptCount val="3"/>
                <c:pt idx="0">
                  <c:v>Tier 1</c:v>
                </c:pt>
                <c:pt idx="1">
                  <c:v>Tier 2</c:v>
                </c:pt>
                <c:pt idx="2">
                  <c:v>Tier 3</c:v>
                </c:pt>
              </c:strCache>
            </c:strRef>
          </c:cat>
          <c:val>
            <c:numRef>
              <c:f>Sheet3!$B$38:$B$41</c:f>
              <c:numCache>
                <c:formatCode>"$"0.00,"M"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1AC-4DEA-BCEC-5F6E8DF843E1}"/>
            </c:ext>
          </c:extLst>
        </c:ser>
        <c:ser>
          <c:idx val="1"/>
          <c:order val="1"/>
          <c:tx>
            <c:strRef>
              <c:f>Sheet3!$C$36:$C$37</c:f>
              <c:strCache>
                <c:ptCount val="1"/>
                <c:pt idx="0">
                  <c:v>Regular</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Sheet3!$A$38:$A$41</c:f>
              <c:strCache>
                <c:ptCount val="3"/>
                <c:pt idx="0">
                  <c:v>Tier 1</c:v>
                </c:pt>
                <c:pt idx="1">
                  <c:v>Tier 2</c:v>
                </c:pt>
                <c:pt idx="2">
                  <c:v>Tier 3</c:v>
                </c:pt>
              </c:strCache>
            </c:strRef>
          </c:cat>
          <c:val>
            <c:numRef>
              <c:f>Sheet3!$C$38:$C$41</c:f>
              <c:numCache>
                <c:formatCode>"$"0.00,"M"</c:formatCode>
                <c:ptCount val="3"/>
                <c:pt idx="0">
                  <c:v>121349.89940000001</c:v>
                </c:pt>
                <c:pt idx="1">
                  <c:v>138685.86819999994</c:v>
                </c:pt>
                <c:pt idx="2">
                  <c:v>165326.0368</c:v>
                </c:pt>
              </c:numCache>
            </c:numRef>
          </c:val>
          <c:extLst>
            <c:ext xmlns:c16="http://schemas.microsoft.com/office/drawing/2014/chart" uri="{C3380CC4-5D6E-409C-BE32-E72D297353CC}">
              <c16:uniqueId val="{00000001-D1AC-4DEA-BCEC-5F6E8DF843E1}"/>
            </c:ext>
          </c:extLst>
        </c:ser>
        <c:dLbls>
          <c:dLblPos val="outEnd"/>
          <c:showLegendKey val="0"/>
          <c:showVal val="1"/>
          <c:showCatName val="0"/>
          <c:showSerName val="0"/>
          <c:showPercent val="0"/>
          <c:showBubbleSize val="0"/>
        </c:dLbls>
        <c:gapWidth val="182"/>
        <c:axId val="1333047248"/>
        <c:axId val="1333047728"/>
      </c:barChart>
      <c:catAx>
        <c:axId val="133304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33047728"/>
        <c:crosses val="autoZero"/>
        <c:auto val="1"/>
        <c:lblAlgn val="ctr"/>
        <c:lblOffset val="100"/>
        <c:noMultiLvlLbl val="0"/>
      </c:catAx>
      <c:valAx>
        <c:axId val="1333047728"/>
        <c:scaling>
          <c:orientation val="minMax"/>
        </c:scaling>
        <c:delete val="1"/>
        <c:axPos val="b"/>
        <c:numFmt formatCode="&quot;$&quot;0.00,&quot;M&quot;" sourceLinked="1"/>
        <c:majorTickMark val="none"/>
        <c:minorTickMark val="none"/>
        <c:tickLblPos val="nextTo"/>
        <c:crossAx val="1333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444444444444448E-2"/>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499999999999999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9444444444444448E-2"/>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499999999999999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6.9444444444444448E-2"/>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7.499999999999999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0668343187306"/>
          <c:y val="0.26963365048880999"/>
          <c:w val="0.43884059039779277"/>
          <c:h val="0.61141899124538079"/>
        </c:manualLayout>
      </c:layout>
      <c:doughnutChart>
        <c:varyColors val="1"/>
        <c:ser>
          <c:idx val="0"/>
          <c:order val="0"/>
          <c:tx>
            <c:strRef>
              <c:f>Sheet3!$B$57</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1C1B-4358-A4BE-9E251907165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1C1B-4358-A4BE-9E2519071657}"/>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1C1B-4358-A4BE-9E2519071657}"/>
              </c:ext>
            </c:extLst>
          </c:dPt>
          <c:dLbls>
            <c:dLbl>
              <c:idx val="0"/>
              <c:layout>
                <c:manualLayout>
                  <c:x val="6.9444444444444448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1B-4358-A4BE-9E2519071657}"/>
                </c:ext>
              </c:extLst>
            </c:dLbl>
            <c:dLbl>
              <c:idx val="1"/>
              <c:layout>
                <c:manualLayout>
                  <c:x val="7.4999999999999997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1B-4358-A4BE-9E2519071657}"/>
                </c:ext>
              </c:extLst>
            </c:dLbl>
            <c:dLbl>
              <c:idx val="2"/>
              <c:layout>
                <c:manualLayout>
                  <c:x val="-6.94444444444444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1B-4358-A4BE-9E25190716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Sheet3!$A$58:$A$61</c:f>
              <c:strCache>
                <c:ptCount val="3"/>
                <c:pt idx="0">
                  <c:v>High</c:v>
                </c:pt>
                <c:pt idx="1">
                  <c:v>Medium</c:v>
                </c:pt>
                <c:pt idx="2">
                  <c:v>Small</c:v>
                </c:pt>
              </c:strCache>
            </c:strRef>
          </c:cat>
          <c:val>
            <c:numRef>
              <c:f>Sheet3!$B$58:$B$61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C1B-4358-A4BE-9E251907165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Excel.xlsx]Sheet3!PivotTable6</c:name>
    <c:fmtId val="16"/>
  </c:pivotSource>
  <c:chart>
    <c:autoTitleDeleted val="1"/>
    <c:pivotFmts>
      <c:pivotFmt>
        <c:idx val="0"/>
        <c:spPr>
          <a:solidFill>
            <a:schemeClr val="accent4"/>
          </a:solidFill>
          <a:ln>
            <a:noFill/>
          </a:ln>
          <a:effectLst>
            <a:innerShdw blurRad="114300">
              <a:schemeClr val="accent1">
                <a:lumMod val="75000"/>
              </a:schemeClr>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innerShdw blurRad="114300">
              <a:schemeClr val="accent1">
                <a:lumMod val="75000"/>
              </a:schemeClr>
            </a:innerShdw>
          </a:effectLst>
        </c:spPr>
        <c:dLbl>
          <c:idx val="0"/>
          <c:layout>
            <c:manualLayout>
              <c:x val="-5.5555555555556572E-3"/>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innerShdw blurRad="114300">
              <a:schemeClr val="accent1">
                <a:lumMod val="75000"/>
              </a:schemeClr>
            </a:innerShdw>
          </a:effectLst>
        </c:spPr>
        <c:dLbl>
          <c:idx val="0"/>
          <c:layout>
            <c:manualLayout>
              <c:x val="1.1111111111111009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innerShdw blurRad="114300">
              <a:schemeClr val="accent1">
                <a:lumMod val="75000"/>
              </a:schemeClr>
            </a:innerShdw>
          </a:effectLst>
        </c:spPr>
        <c:dLbl>
          <c:idx val="0"/>
          <c:layout>
            <c:manualLayout>
              <c:x val="2.777777777777777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innerShdw blurRad="114300">
              <a:schemeClr val="accent1">
                <a:lumMod val="75000"/>
              </a:schemeClr>
            </a:innerShdw>
          </a:effectLst>
        </c:spPr>
        <c:dLbl>
          <c:idx val="0"/>
          <c:layout>
            <c:manualLayout>
              <c:x val="-2.2222222222222324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innerShdw blurRad="114300">
              <a:schemeClr val="accent1">
                <a:lumMod val="75000"/>
              </a:schemeClr>
            </a:innerShdw>
          </a:effectLst>
        </c:spPr>
        <c:dLbl>
          <c:idx val="0"/>
          <c:layout>
            <c:manualLayout>
              <c:x val="-1.6666666666666666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innerShdw blurRad="114300">
              <a:schemeClr val="accent1">
                <a:lumMod val="75000"/>
              </a:schemeClr>
            </a:innerShdw>
          </a:effectLst>
        </c:spPr>
        <c:dLbl>
          <c:idx val="0"/>
          <c:layout>
            <c:manualLayout>
              <c:x val="-8.3333333333333332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innerShdw blurRad="114300">
              <a:schemeClr val="accent1">
                <a:lumMod val="75000"/>
              </a:schemeClr>
            </a:innerShdw>
          </a:effectLst>
        </c:spPr>
        <c:dLbl>
          <c:idx val="0"/>
          <c:layout>
            <c:manualLayout>
              <c:x val="-1.6666666666666666E-2"/>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innerShdw blurRad="114300">
              <a:schemeClr val="accent1">
                <a:lumMod val="75000"/>
              </a:schemeClr>
            </a:innerShdw>
          </a:effectLst>
        </c:spPr>
        <c:dLbl>
          <c:idx val="0"/>
          <c:layout>
            <c:manualLayout>
              <c:x val="-8.3333333333333454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innerShdw blurRad="114300">
              <a:schemeClr val="accent1">
                <a:lumMod val="75000"/>
              </a:schemeClr>
            </a:innerShdw>
          </a:effectLst>
        </c:spPr>
        <c:dLbl>
          <c:idx val="0"/>
          <c:layout>
            <c:manualLayout>
              <c:x val="-3.1828336020049982E-18"/>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innerShdw blurRad="114300">
              <a:schemeClr val="accent1">
                <a:lumMod val="75000"/>
              </a:schemeClr>
            </a:innerShdw>
          </a:effectLst>
        </c:spPr>
        <c:dLbl>
          <c:idx val="0"/>
          <c:layout>
            <c:manualLayout>
              <c:x val="-3.1828336020049982E-18"/>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innerShdw blurRad="114300">
              <a:schemeClr val="accent1">
                <a:lumMod val="75000"/>
              </a:schemeClr>
            </a:innerShdw>
          </a:effectLst>
        </c:spPr>
        <c:dLbl>
          <c:idx val="0"/>
          <c:layout>
            <c:manualLayout>
              <c:x val="-8.3333333333333454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innerShdw blurRad="114300">
              <a:schemeClr val="accent1">
                <a:lumMod val="75000"/>
              </a:schemeClr>
            </a:innerShdw>
          </a:effectLst>
        </c:spPr>
        <c:dLbl>
          <c:idx val="0"/>
          <c:layout>
            <c:manualLayout>
              <c:x val="-1.6666666666666666E-2"/>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innerShdw blurRad="114300">
              <a:schemeClr val="accent1">
                <a:lumMod val="75000"/>
              </a:schemeClr>
            </a:innerShdw>
          </a:effectLst>
        </c:spPr>
        <c:dLbl>
          <c:idx val="0"/>
          <c:layout>
            <c:manualLayout>
              <c:x val="-8.3333333333333332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innerShdw blurRad="114300">
              <a:schemeClr val="accent1">
                <a:lumMod val="75000"/>
              </a:schemeClr>
            </a:innerShdw>
          </a:effectLst>
        </c:spPr>
        <c:dLbl>
          <c:idx val="0"/>
          <c:layout>
            <c:manualLayout>
              <c:x val="-1.6666666666666666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innerShdw blurRad="114300">
              <a:schemeClr val="accent1">
                <a:lumMod val="75000"/>
              </a:schemeClr>
            </a:innerShdw>
          </a:effectLst>
        </c:spPr>
        <c:dLbl>
          <c:idx val="0"/>
          <c:layout>
            <c:manualLayout>
              <c:x val="-2.2222222222222324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a:innerShdw blurRad="114300">
              <a:schemeClr val="accent1">
                <a:lumMod val="75000"/>
              </a:schemeClr>
            </a:innerShdw>
          </a:effectLst>
        </c:spPr>
        <c:dLbl>
          <c:idx val="0"/>
          <c:layout>
            <c:manualLayout>
              <c:x val="2.777777777777777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innerShdw blurRad="114300">
              <a:schemeClr val="accent1">
                <a:lumMod val="75000"/>
              </a:schemeClr>
            </a:innerShdw>
          </a:effectLst>
        </c:spPr>
        <c:dLbl>
          <c:idx val="0"/>
          <c:layout>
            <c:manualLayout>
              <c:x val="1.1111111111111009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innerShdw blurRad="114300">
              <a:schemeClr val="accent1">
                <a:lumMod val="75000"/>
              </a:schemeClr>
            </a:innerShdw>
          </a:effectLst>
        </c:spPr>
        <c:dLbl>
          <c:idx val="0"/>
          <c:layout>
            <c:manualLayout>
              <c:x val="-5.5555555555556572E-3"/>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a:innerShdw blurRad="114300">
              <a:schemeClr val="accent1">
                <a:lumMod val="75000"/>
              </a:schemeClr>
            </a:innerShdw>
          </a:effectLst>
        </c:spPr>
        <c:dLbl>
          <c:idx val="0"/>
          <c:layout>
            <c:manualLayout>
              <c:x val="-3.1828336020049982E-18"/>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innerShdw blurRad="114300">
              <a:schemeClr val="accent1">
                <a:lumMod val="75000"/>
              </a:schemeClr>
            </a:innerShdw>
          </a:effectLst>
        </c:spPr>
        <c:dLbl>
          <c:idx val="0"/>
          <c:layout>
            <c:manualLayout>
              <c:x val="-8.3333333333333454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innerShdw blurRad="114300">
              <a:schemeClr val="accent1">
                <a:lumMod val="75000"/>
              </a:schemeClr>
            </a:innerShdw>
          </a:effectLst>
        </c:spPr>
        <c:dLbl>
          <c:idx val="0"/>
          <c:layout>
            <c:manualLayout>
              <c:x val="-1.6666666666666666E-2"/>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a:innerShdw blurRad="114300">
              <a:schemeClr val="accent1">
                <a:lumMod val="75000"/>
              </a:schemeClr>
            </a:innerShdw>
          </a:effectLst>
        </c:spPr>
        <c:dLbl>
          <c:idx val="0"/>
          <c:layout>
            <c:manualLayout>
              <c:x val="-8.3333333333333332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innerShdw blurRad="114300">
              <a:schemeClr val="accent1">
                <a:lumMod val="75000"/>
              </a:schemeClr>
            </a:innerShdw>
          </a:effectLst>
        </c:spPr>
        <c:dLbl>
          <c:idx val="0"/>
          <c:layout>
            <c:manualLayout>
              <c:x val="-1.6666666666666666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a:innerShdw blurRad="114300">
              <a:schemeClr val="accent1">
                <a:lumMod val="75000"/>
              </a:schemeClr>
            </a:innerShdw>
          </a:effectLst>
        </c:spPr>
        <c:dLbl>
          <c:idx val="0"/>
          <c:layout>
            <c:manualLayout>
              <c:x val="-2.2222222222222324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a:innerShdw blurRad="114300">
              <a:schemeClr val="accent1">
                <a:lumMod val="75000"/>
              </a:schemeClr>
            </a:innerShdw>
          </a:effectLst>
        </c:spPr>
        <c:dLbl>
          <c:idx val="0"/>
          <c:layout>
            <c:manualLayout>
              <c:x val="2.777777777777777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innerShdw blurRad="114300">
              <a:schemeClr val="accent1">
                <a:lumMod val="75000"/>
              </a:schemeClr>
            </a:innerShdw>
          </a:effectLst>
        </c:spPr>
        <c:dLbl>
          <c:idx val="0"/>
          <c:layout>
            <c:manualLayout>
              <c:x val="1.1111111111111009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a:innerShdw blurRad="114300">
              <a:schemeClr val="accent1">
                <a:lumMod val="75000"/>
              </a:schemeClr>
            </a:innerShdw>
          </a:effectLst>
        </c:spPr>
        <c:dLbl>
          <c:idx val="0"/>
          <c:layout>
            <c:manualLayout>
              <c:x val="-5.5555555555556572E-3"/>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93197647667432E-2"/>
          <c:y val="8.1824655713002015E-2"/>
          <c:w val="0.91101360470466519"/>
          <c:h val="0.80651709316678855"/>
        </c:manualLayout>
      </c:layout>
      <c:areaChart>
        <c:grouping val="standard"/>
        <c:varyColors val="0"/>
        <c:ser>
          <c:idx val="0"/>
          <c:order val="0"/>
          <c:tx>
            <c:strRef>
              <c:f>Sheet3!$B$44</c:f>
              <c:strCache>
                <c:ptCount val="1"/>
                <c:pt idx="0">
                  <c:v>Total</c:v>
                </c:pt>
              </c:strCache>
            </c:strRef>
          </c:tx>
          <c:spPr>
            <a:solidFill>
              <a:schemeClr val="accent4"/>
            </a:solidFill>
            <a:ln>
              <a:noFill/>
            </a:ln>
            <a:effectLst>
              <a:innerShdw blurRad="114300">
                <a:schemeClr val="accent1">
                  <a:lumMod val="75000"/>
                </a:schemeClr>
              </a:innerShdw>
            </a:effectLst>
          </c:spPr>
          <c:dPt>
            <c:idx val="0"/>
            <c:bubble3D val="0"/>
            <c:extLst>
              <c:ext xmlns:c16="http://schemas.microsoft.com/office/drawing/2014/chart" uri="{C3380CC4-5D6E-409C-BE32-E72D297353CC}">
                <c16:uniqueId val="{00000000-475B-4BDA-B415-D9406BFC6246}"/>
              </c:ext>
            </c:extLst>
          </c:dPt>
          <c:dPt>
            <c:idx val="1"/>
            <c:bubble3D val="0"/>
            <c:extLst>
              <c:ext xmlns:c16="http://schemas.microsoft.com/office/drawing/2014/chart" uri="{C3380CC4-5D6E-409C-BE32-E72D297353CC}">
                <c16:uniqueId val="{00000001-475B-4BDA-B415-D9406BFC6246}"/>
              </c:ext>
            </c:extLst>
          </c:dPt>
          <c:dPt>
            <c:idx val="2"/>
            <c:bubble3D val="0"/>
            <c:extLst>
              <c:ext xmlns:c16="http://schemas.microsoft.com/office/drawing/2014/chart" uri="{C3380CC4-5D6E-409C-BE32-E72D297353CC}">
                <c16:uniqueId val="{00000002-475B-4BDA-B415-D9406BFC6246}"/>
              </c:ext>
            </c:extLst>
          </c:dPt>
          <c:dPt>
            <c:idx val="3"/>
            <c:bubble3D val="0"/>
            <c:extLst>
              <c:ext xmlns:c16="http://schemas.microsoft.com/office/drawing/2014/chart" uri="{C3380CC4-5D6E-409C-BE32-E72D297353CC}">
                <c16:uniqueId val="{00000003-475B-4BDA-B415-D9406BFC6246}"/>
              </c:ext>
            </c:extLst>
          </c:dPt>
          <c:dPt>
            <c:idx val="4"/>
            <c:bubble3D val="0"/>
            <c:extLst>
              <c:ext xmlns:c16="http://schemas.microsoft.com/office/drawing/2014/chart" uri="{C3380CC4-5D6E-409C-BE32-E72D297353CC}">
                <c16:uniqueId val="{00000004-475B-4BDA-B415-D9406BFC6246}"/>
              </c:ext>
            </c:extLst>
          </c:dPt>
          <c:dPt>
            <c:idx val="5"/>
            <c:bubble3D val="0"/>
            <c:extLst>
              <c:ext xmlns:c16="http://schemas.microsoft.com/office/drawing/2014/chart" uri="{C3380CC4-5D6E-409C-BE32-E72D297353CC}">
                <c16:uniqueId val="{00000005-475B-4BDA-B415-D9406BFC6246}"/>
              </c:ext>
            </c:extLst>
          </c:dPt>
          <c:dPt>
            <c:idx val="6"/>
            <c:bubble3D val="0"/>
            <c:extLst>
              <c:ext xmlns:c16="http://schemas.microsoft.com/office/drawing/2014/chart" uri="{C3380CC4-5D6E-409C-BE32-E72D297353CC}">
                <c16:uniqueId val="{00000006-475B-4BDA-B415-D9406BFC6246}"/>
              </c:ext>
            </c:extLst>
          </c:dPt>
          <c:dPt>
            <c:idx val="7"/>
            <c:bubble3D val="0"/>
            <c:extLst>
              <c:ext xmlns:c16="http://schemas.microsoft.com/office/drawing/2014/chart" uri="{C3380CC4-5D6E-409C-BE32-E72D297353CC}">
                <c16:uniqueId val="{00000007-475B-4BDA-B415-D9406BFC6246}"/>
              </c:ext>
            </c:extLst>
          </c:dPt>
          <c:dPt>
            <c:idx val="8"/>
            <c:bubble3D val="0"/>
            <c:extLst>
              <c:ext xmlns:c16="http://schemas.microsoft.com/office/drawing/2014/chart" uri="{C3380CC4-5D6E-409C-BE32-E72D297353CC}">
                <c16:uniqueId val="{00000008-475B-4BDA-B415-D9406BFC6246}"/>
              </c:ext>
            </c:extLst>
          </c:dPt>
          <c:dLbls>
            <c:dLbl>
              <c:idx val="0"/>
              <c:layout>
                <c:manualLayout>
                  <c:x val="-3.1828336020049982E-18"/>
                  <c:y val="-0.180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5B-4BDA-B415-D9406BFC6246}"/>
                </c:ext>
              </c:extLst>
            </c:dLbl>
            <c:dLbl>
              <c:idx val="1"/>
              <c:layout>
                <c:manualLayout>
                  <c:x val="-8.3333333333333454E-3"/>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5B-4BDA-B415-D9406BFC6246}"/>
                </c:ext>
              </c:extLst>
            </c:dLbl>
            <c:dLbl>
              <c:idx val="2"/>
              <c:layout>
                <c:manualLayout>
                  <c:x val="-1.6666666666666666E-2"/>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5B-4BDA-B415-D9406BFC6246}"/>
                </c:ext>
              </c:extLst>
            </c:dLbl>
            <c:dLbl>
              <c:idx val="3"/>
              <c:layout>
                <c:manualLayout>
                  <c:x val="-8.3333333333333332E-3"/>
                  <c:y val="-0.250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5B-4BDA-B415-D9406BFC6246}"/>
                </c:ext>
              </c:extLst>
            </c:dLbl>
            <c:dLbl>
              <c:idx val="4"/>
              <c:layout>
                <c:manualLayout>
                  <c:x val="-1.6666666666666666E-2"/>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5B-4BDA-B415-D9406BFC6246}"/>
                </c:ext>
              </c:extLst>
            </c:dLbl>
            <c:dLbl>
              <c:idx val="5"/>
              <c:layout>
                <c:manualLayout>
                  <c:x val="-2.2222222222222324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5B-4BDA-B415-D9406BFC6246}"/>
                </c:ext>
              </c:extLst>
            </c:dLbl>
            <c:dLbl>
              <c:idx val="6"/>
              <c:layout>
                <c:manualLayout>
                  <c:x val="2.7777777777777779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5B-4BDA-B415-D9406BFC6246}"/>
                </c:ext>
              </c:extLst>
            </c:dLbl>
            <c:dLbl>
              <c:idx val="7"/>
              <c:layout>
                <c:manualLayout>
                  <c:x val="1.1111111111111009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5B-4BDA-B415-D9406BFC6246}"/>
                </c:ext>
              </c:extLst>
            </c:dLbl>
            <c:dLbl>
              <c:idx val="8"/>
              <c:layout>
                <c:manualLayout>
                  <c:x val="-5.5555555555556572E-3"/>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5B-4BDA-B415-D9406BFC62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Sheet3!$A$45:$A$54</c:f>
              <c:strCache>
                <c:ptCount val="9"/>
                <c:pt idx="0">
                  <c:v>2011</c:v>
                </c:pt>
                <c:pt idx="1">
                  <c:v>2012</c:v>
                </c:pt>
                <c:pt idx="2">
                  <c:v>2014</c:v>
                </c:pt>
                <c:pt idx="3">
                  <c:v>2015</c:v>
                </c:pt>
                <c:pt idx="4">
                  <c:v>2016</c:v>
                </c:pt>
                <c:pt idx="5">
                  <c:v>2017</c:v>
                </c:pt>
                <c:pt idx="6">
                  <c:v>2018</c:v>
                </c:pt>
                <c:pt idx="7">
                  <c:v>2020</c:v>
                </c:pt>
                <c:pt idx="8">
                  <c:v>2022</c:v>
                </c:pt>
              </c:strCache>
            </c:strRef>
          </c:cat>
          <c:val>
            <c:numRef>
              <c:f>Sheet3!$B$45:$B$54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475B-4BDA-B415-D9406BFC6246}"/>
            </c:ext>
          </c:extLst>
        </c:ser>
        <c:dLbls>
          <c:showLegendKey val="0"/>
          <c:showVal val="1"/>
          <c:showCatName val="0"/>
          <c:showSerName val="0"/>
          <c:showPercent val="0"/>
          <c:showBubbleSize val="0"/>
        </c:dLbls>
        <c:dropLines>
          <c:spPr>
            <a:ln w="9525">
              <a:solidFill>
                <a:schemeClr val="tx1">
                  <a:lumMod val="35000"/>
                  <a:lumOff val="65000"/>
                </a:schemeClr>
              </a:solidFill>
              <a:round/>
            </a:ln>
            <a:effectLst/>
          </c:spPr>
        </c:dropLines>
        <c:axId val="1558863280"/>
        <c:axId val="1558875760"/>
      </c:areaChart>
      <c:catAx>
        <c:axId val="1558863280"/>
        <c:scaling>
          <c:orientation val="minMax"/>
        </c:scaling>
        <c:delete val="1"/>
        <c:axPos val="b"/>
        <c:numFmt formatCode="General" sourceLinked="1"/>
        <c:majorTickMark val="out"/>
        <c:minorTickMark val="none"/>
        <c:tickLblPos val="nextTo"/>
        <c:crossAx val="1558875760"/>
        <c:crosses val="autoZero"/>
        <c:auto val="1"/>
        <c:lblAlgn val="ctr"/>
        <c:lblOffset val="100"/>
        <c:noMultiLvlLbl val="0"/>
      </c:catAx>
      <c:valAx>
        <c:axId val="1558875760"/>
        <c:scaling>
          <c:orientation val="minMax"/>
        </c:scaling>
        <c:delete val="1"/>
        <c:axPos val="l"/>
        <c:numFmt formatCode="&quot;$&quot;0.0,&quot;k&quot;" sourceLinked="1"/>
        <c:majorTickMark val="out"/>
        <c:minorTickMark val="none"/>
        <c:tickLblPos val="nextTo"/>
        <c:crossAx val="1558863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c:name>
    <c:fmtId val="7"/>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3714140313145"/>
          <c:y val="9.3186582809224316E-2"/>
          <c:w val="0.87236285859686857"/>
          <c:h val="0.85356394129979041"/>
        </c:manualLayout>
      </c:layout>
      <c:barChart>
        <c:barDir val="bar"/>
        <c:grouping val="clustered"/>
        <c:varyColors val="0"/>
        <c:ser>
          <c:idx val="0"/>
          <c:order val="0"/>
          <c:tx>
            <c:strRef>
              <c:f>Sheet3!$B$81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Sheet3!$A$82:$A$86</c:f>
              <c:strCache>
                <c:ptCount val="4"/>
                <c:pt idx="0">
                  <c:v>Supermarket Type3</c:v>
                </c:pt>
                <c:pt idx="1">
                  <c:v>Supermarket Type2</c:v>
                </c:pt>
                <c:pt idx="2">
                  <c:v>Grocery Store</c:v>
                </c:pt>
                <c:pt idx="3">
                  <c:v>Supermarket Type1</c:v>
                </c:pt>
              </c:strCache>
            </c:strRef>
          </c:cat>
          <c:val>
            <c:numRef>
              <c:f>Sheet3!$B$82:$B$86</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CA85-425E-8168-72586B6E740C}"/>
            </c:ext>
          </c:extLst>
        </c:ser>
        <c:dLbls>
          <c:dLblPos val="outEnd"/>
          <c:showLegendKey val="0"/>
          <c:showVal val="1"/>
          <c:showCatName val="0"/>
          <c:showSerName val="0"/>
          <c:showPercent val="0"/>
          <c:showBubbleSize val="0"/>
        </c:dLbls>
        <c:gapWidth val="182"/>
        <c:axId val="1119372383"/>
        <c:axId val="1119373343"/>
      </c:barChart>
      <c:catAx>
        <c:axId val="1119372383"/>
        <c:scaling>
          <c:orientation val="minMax"/>
        </c:scaling>
        <c:delete val="1"/>
        <c:axPos val="l"/>
        <c:numFmt formatCode="General" sourceLinked="1"/>
        <c:majorTickMark val="none"/>
        <c:minorTickMark val="none"/>
        <c:tickLblPos val="nextTo"/>
        <c:crossAx val="1119373343"/>
        <c:crosses val="autoZero"/>
        <c:auto val="1"/>
        <c:lblAlgn val="ctr"/>
        <c:lblOffset val="100"/>
        <c:noMultiLvlLbl val="0"/>
      </c:catAx>
      <c:valAx>
        <c:axId val="1119373343"/>
        <c:scaling>
          <c:orientation val="minMax"/>
        </c:scaling>
        <c:delete val="1"/>
        <c:axPos val="b"/>
        <c:numFmt formatCode="&quot;$&quot;0.00,&quot;K&quot;" sourceLinked="1"/>
        <c:majorTickMark val="none"/>
        <c:minorTickMark val="none"/>
        <c:tickLblPos val="nextTo"/>
        <c:crossAx val="111937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Excel.xlsx]Sheet3!PivotTable7</c:name>
    <c:fmtId val="8"/>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Sheet3!$B$90</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Sheet3!$A$91:$A$95</c:f>
              <c:strCache>
                <c:ptCount val="4"/>
                <c:pt idx="0">
                  <c:v>Supermarket Type3</c:v>
                </c:pt>
                <c:pt idx="1">
                  <c:v>Grocery Store</c:v>
                </c:pt>
                <c:pt idx="2">
                  <c:v>Supermarket Type1</c:v>
                </c:pt>
                <c:pt idx="3">
                  <c:v>Supermarket Type2</c:v>
                </c:pt>
              </c:strCache>
            </c:strRef>
          </c:cat>
          <c:val>
            <c:numRef>
              <c:f>Sheet3!$B$91:$B$95</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17CD-45C2-9006-1158687112DB}"/>
            </c:ext>
          </c:extLst>
        </c:ser>
        <c:dLbls>
          <c:dLblPos val="outEnd"/>
          <c:showLegendKey val="0"/>
          <c:showVal val="1"/>
          <c:showCatName val="0"/>
          <c:showSerName val="0"/>
          <c:showPercent val="0"/>
          <c:showBubbleSize val="0"/>
        </c:dLbls>
        <c:gapWidth val="182"/>
        <c:axId val="1119382463"/>
        <c:axId val="1119382943"/>
      </c:barChart>
      <c:catAx>
        <c:axId val="1119382463"/>
        <c:scaling>
          <c:orientation val="minMax"/>
        </c:scaling>
        <c:delete val="1"/>
        <c:axPos val="l"/>
        <c:numFmt formatCode="General" sourceLinked="1"/>
        <c:majorTickMark val="none"/>
        <c:minorTickMark val="none"/>
        <c:tickLblPos val="nextTo"/>
        <c:crossAx val="1119382943"/>
        <c:crosses val="autoZero"/>
        <c:auto val="1"/>
        <c:lblAlgn val="ctr"/>
        <c:lblOffset val="100"/>
        <c:noMultiLvlLbl val="0"/>
      </c:catAx>
      <c:valAx>
        <c:axId val="1119382943"/>
        <c:scaling>
          <c:orientation val="minMax"/>
        </c:scaling>
        <c:delete val="1"/>
        <c:axPos val="b"/>
        <c:numFmt formatCode="&quot;$&quot;0.0&quot;K&quot;" sourceLinked="1"/>
        <c:majorTickMark val="none"/>
        <c:minorTickMark val="none"/>
        <c:tickLblPos val="nextTo"/>
        <c:crossAx val="111938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Excel.xlsx]Sheet3!PivotTable8</c:name>
    <c:fmtId val="7"/>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Sheet3!$B$99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Sheet3!$A$100:$A$104</c:f>
              <c:strCache>
                <c:ptCount val="4"/>
                <c:pt idx="0">
                  <c:v>Supermarket Type2</c:v>
                </c:pt>
                <c:pt idx="1">
                  <c:v>Supermarket Type3</c:v>
                </c:pt>
                <c:pt idx="2">
                  <c:v>Grocery Store</c:v>
                </c:pt>
                <c:pt idx="3">
                  <c:v>Supermarket Type1</c:v>
                </c:pt>
              </c:strCache>
            </c:strRef>
          </c:cat>
          <c:val>
            <c:numRef>
              <c:f>Sheet3!$B$100:$B$104</c:f>
              <c:numCache>
                <c:formatCode>"$"000"K"</c:formatCode>
                <c:ptCount val="4"/>
                <c:pt idx="0">
                  <c:v>928</c:v>
                </c:pt>
                <c:pt idx="1">
                  <c:v>935</c:v>
                </c:pt>
                <c:pt idx="2">
                  <c:v>1083</c:v>
                </c:pt>
                <c:pt idx="3">
                  <c:v>5577</c:v>
                </c:pt>
              </c:numCache>
            </c:numRef>
          </c:val>
          <c:extLst>
            <c:ext xmlns:c16="http://schemas.microsoft.com/office/drawing/2014/chart" uri="{C3380CC4-5D6E-409C-BE32-E72D297353CC}">
              <c16:uniqueId val="{00000000-81DF-4769-86A2-7CE8BAA2682C}"/>
            </c:ext>
          </c:extLst>
        </c:ser>
        <c:dLbls>
          <c:dLblPos val="outEnd"/>
          <c:showLegendKey val="0"/>
          <c:showVal val="1"/>
          <c:showCatName val="0"/>
          <c:showSerName val="0"/>
          <c:showPercent val="0"/>
          <c:showBubbleSize val="0"/>
        </c:dLbls>
        <c:gapWidth val="182"/>
        <c:axId val="1119234623"/>
        <c:axId val="1119237983"/>
      </c:barChart>
      <c:catAx>
        <c:axId val="1119234623"/>
        <c:scaling>
          <c:orientation val="minMax"/>
        </c:scaling>
        <c:delete val="1"/>
        <c:axPos val="l"/>
        <c:numFmt formatCode="General" sourceLinked="1"/>
        <c:majorTickMark val="none"/>
        <c:minorTickMark val="none"/>
        <c:tickLblPos val="nextTo"/>
        <c:crossAx val="1119237983"/>
        <c:crosses val="autoZero"/>
        <c:auto val="1"/>
        <c:lblAlgn val="ctr"/>
        <c:lblOffset val="100"/>
        <c:noMultiLvlLbl val="0"/>
      </c:catAx>
      <c:valAx>
        <c:axId val="1119237983"/>
        <c:scaling>
          <c:orientation val="minMax"/>
        </c:scaling>
        <c:delete val="1"/>
        <c:axPos val="b"/>
        <c:numFmt formatCode="&quot;$&quot;000&quot;K&quot;" sourceLinked="1"/>
        <c:majorTickMark val="none"/>
        <c:minorTickMark val="none"/>
        <c:tickLblPos val="nextTo"/>
        <c:crossAx val="111923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Excel.xlsx]Sheet3!PivotTable3</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666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944444444444444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18832020997377"/>
          <c:y val="0.10622849227179935"/>
          <c:w val="0.40829002624671917"/>
          <c:h val="0.68048337707786521"/>
        </c:manualLayout>
      </c:layout>
      <c:doughnutChart>
        <c:varyColors val="1"/>
        <c:ser>
          <c:idx val="0"/>
          <c:order val="0"/>
          <c:tx>
            <c:strRef>
              <c:f>Sheet3!$B$10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9A7-422C-B074-DB5952C541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9A7-422C-B074-DB5952C54183}"/>
              </c:ext>
            </c:extLst>
          </c:dPt>
          <c:dLbls>
            <c:dLbl>
              <c:idx val="0"/>
              <c:layout>
                <c:manualLayout>
                  <c:x val="-6.9444444444444448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A7-422C-B074-DB5952C54183}"/>
                </c:ext>
              </c:extLst>
            </c:dLbl>
            <c:dLbl>
              <c:idx val="1"/>
              <c:layout>
                <c:manualLayout>
                  <c:x val="-6.6666666666666666E-2"/>
                  <c:y val="-6.0185185185185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9A7-422C-B074-DB5952C5418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Sheet3!$A$11:$A$13</c:f>
              <c:strCache>
                <c:ptCount val="2"/>
                <c:pt idx="0">
                  <c:v>Low Fat</c:v>
                </c:pt>
                <c:pt idx="1">
                  <c:v>Regular</c:v>
                </c:pt>
              </c:strCache>
            </c:strRef>
          </c:cat>
          <c:val>
            <c:numRef>
              <c:f>Sheet3!$B$11:$B$13</c:f>
              <c:numCache>
                <c:formatCode>"$"0.00,\1"K"</c:formatCode>
                <c:ptCount val="2"/>
                <c:pt idx="0">
                  <c:v>776319.68840000057</c:v>
                </c:pt>
                <c:pt idx="1">
                  <c:v>425361.8043999995</c:v>
                </c:pt>
              </c:numCache>
            </c:numRef>
          </c:val>
          <c:extLst>
            <c:ext xmlns:c16="http://schemas.microsoft.com/office/drawing/2014/chart" uri="{C3380CC4-5D6E-409C-BE32-E72D297353CC}">
              <c16:uniqueId val="{00000000-29A7-422C-B074-DB5952C5418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Excel.xlsx]Sheet3!PivotTable4</c:name>
    <c:fmtId val="19"/>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Sheet3!$B$16</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Sheet3!$A$17:$A$33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Sheet3!$B$17:$B$33</c:f>
              <c:numCache>
                <c:formatCode>"$"0.0,"M"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0C0-4AA3-891A-3BEDEB3DBC5A}"/>
            </c:ext>
          </c:extLst>
        </c:ser>
        <c:dLbls>
          <c:dLblPos val="outEnd"/>
          <c:showLegendKey val="0"/>
          <c:showVal val="1"/>
          <c:showCatName val="0"/>
          <c:showSerName val="0"/>
          <c:showPercent val="0"/>
          <c:showBubbleSize val="0"/>
        </c:dLbls>
        <c:gapWidth val="182"/>
        <c:axId val="1170019376"/>
        <c:axId val="1170019856"/>
      </c:barChart>
      <c:catAx>
        <c:axId val="117001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19856"/>
        <c:crosses val="autoZero"/>
        <c:auto val="1"/>
        <c:lblAlgn val="ctr"/>
        <c:lblOffset val="100"/>
        <c:noMultiLvlLbl val="0"/>
      </c:catAx>
      <c:valAx>
        <c:axId val="11700198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1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1736657917759"/>
          <c:y val="0.15740740740740741"/>
          <c:w val="0.68927493438320209"/>
          <c:h val="0.84259259259259256"/>
        </c:manualLayout>
      </c:layout>
      <c:barChart>
        <c:barDir val="bar"/>
        <c:grouping val="clustered"/>
        <c:varyColors val="0"/>
        <c:ser>
          <c:idx val="0"/>
          <c:order val="0"/>
          <c:tx>
            <c:strRef>
              <c:f>Sheet3!$B$36:$B$37</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Sheet3!$A$38:$A$41</c:f>
              <c:strCache>
                <c:ptCount val="3"/>
                <c:pt idx="0">
                  <c:v>Tier 1</c:v>
                </c:pt>
                <c:pt idx="1">
                  <c:v>Tier 2</c:v>
                </c:pt>
                <c:pt idx="2">
                  <c:v>Tier 3</c:v>
                </c:pt>
              </c:strCache>
            </c:strRef>
          </c:cat>
          <c:val>
            <c:numRef>
              <c:f>Sheet3!$B$38:$B$41</c:f>
              <c:numCache>
                <c:formatCode>"$"0.00,"M"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C17-462B-99DD-54F053025224}"/>
            </c:ext>
          </c:extLst>
        </c:ser>
        <c:ser>
          <c:idx val="1"/>
          <c:order val="1"/>
          <c:tx>
            <c:strRef>
              <c:f>Sheet3!$C$36:$C$37</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Sheet3!$A$38:$A$41</c:f>
              <c:strCache>
                <c:ptCount val="3"/>
                <c:pt idx="0">
                  <c:v>Tier 1</c:v>
                </c:pt>
                <c:pt idx="1">
                  <c:v>Tier 2</c:v>
                </c:pt>
                <c:pt idx="2">
                  <c:v>Tier 3</c:v>
                </c:pt>
              </c:strCache>
            </c:strRef>
          </c:cat>
          <c:val>
            <c:numRef>
              <c:f>Sheet3!$C$38:$C$41</c:f>
              <c:numCache>
                <c:formatCode>"$"0.00,"M"</c:formatCode>
                <c:ptCount val="3"/>
                <c:pt idx="0">
                  <c:v>121349.89940000001</c:v>
                </c:pt>
                <c:pt idx="1">
                  <c:v>138685.86819999994</c:v>
                </c:pt>
                <c:pt idx="2">
                  <c:v>165326.0368</c:v>
                </c:pt>
              </c:numCache>
            </c:numRef>
          </c:val>
          <c:extLst>
            <c:ext xmlns:c16="http://schemas.microsoft.com/office/drawing/2014/chart" uri="{C3380CC4-5D6E-409C-BE32-E72D297353CC}">
              <c16:uniqueId val="{00000001-1C17-462B-99DD-54F053025224}"/>
            </c:ext>
          </c:extLst>
        </c:ser>
        <c:dLbls>
          <c:dLblPos val="outEnd"/>
          <c:showLegendKey val="0"/>
          <c:showVal val="1"/>
          <c:showCatName val="0"/>
          <c:showSerName val="0"/>
          <c:showPercent val="0"/>
          <c:showBubbleSize val="0"/>
        </c:dLbls>
        <c:gapWidth val="182"/>
        <c:axId val="1333047248"/>
        <c:axId val="1333047728"/>
      </c:barChart>
      <c:catAx>
        <c:axId val="133304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33047728"/>
        <c:crosses val="autoZero"/>
        <c:auto val="1"/>
        <c:lblAlgn val="ctr"/>
        <c:lblOffset val="100"/>
        <c:noMultiLvlLbl val="0"/>
      </c:catAx>
      <c:valAx>
        <c:axId val="1333047728"/>
        <c:scaling>
          <c:orientation val="minMax"/>
        </c:scaling>
        <c:delete val="1"/>
        <c:axPos val="b"/>
        <c:numFmt formatCode="&quot;$&quot;0.00,&quot;M&quot;" sourceLinked="1"/>
        <c:majorTickMark val="none"/>
        <c:minorTickMark val="none"/>
        <c:tickLblPos val="nextTo"/>
        <c:crossAx val="1333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444444444444448E-2"/>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94444444444444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499999999999999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093-44AC-B314-D78AB2AD8F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093-44AC-B314-D78AB2AD8F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093-44AC-B314-D78AB2AD8F20}"/>
              </c:ext>
            </c:extLst>
          </c:dPt>
          <c:dLbls>
            <c:dLbl>
              <c:idx val="0"/>
              <c:layout>
                <c:manualLayout>
                  <c:x val="6.9444444444444448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93-44AC-B314-D78AB2AD8F20}"/>
                </c:ext>
              </c:extLst>
            </c:dLbl>
            <c:dLbl>
              <c:idx val="1"/>
              <c:layout>
                <c:manualLayout>
                  <c:x val="7.4999999999999997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93-44AC-B314-D78AB2AD8F20}"/>
                </c:ext>
              </c:extLst>
            </c:dLbl>
            <c:dLbl>
              <c:idx val="2"/>
              <c:layout>
                <c:manualLayout>
                  <c:x val="-6.94444444444444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93-44AC-B314-D78AB2AD8F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Sheet3!$A$58:$A$61</c:f>
              <c:strCache>
                <c:ptCount val="3"/>
                <c:pt idx="0">
                  <c:v>High</c:v>
                </c:pt>
                <c:pt idx="1">
                  <c:v>Medium</c:v>
                </c:pt>
                <c:pt idx="2">
                  <c:v>Small</c:v>
                </c:pt>
              </c:strCache>
            </c:strRef>
          </c:cat>
          <c:val>
            <c:numRef>
              <c:f>Sheet3!$B$58:$B$61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093-44AC-B314-D78AB2AD8F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Excel.xlsx]Sheet3!PivotTable6</c:name>
    <c:fmtId val="10"/>
  </c:pivotSource>
  <c:chart>
    <c:autoTitleDeleted val="1"/>
    <c:pivotFmts>
      <c:pivotFmt>
        <c:idx val="0"/>
        <c:spPr>
          <a:solidFill>
            <a:schemeClr val="accent4"/>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innerShdw blurRad="114300">
              <a:schemeClr val="accent1">
                <a:lumMod val="75000"/>
              </a:schemeClr>
            </a:innerShdw>
          </a:effectLst>
        </c:spPr>
        <c:dLbl>
          <c:idx val="0"/>
          <c:layout>
            <c:manualLayout>
              <c:x val="-5.5555555555556572E-3"/>
              <c:y val="-0.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innerShdw blurRad="114300">
              <a:schemeClr val="accent1">
                <a:lumMod val="75000"/>
              </a:schemeClr>
            </a:innerShdw>
          </a:effectLst>
        </c:spPr>
        <c:dLbl>
          <c:idx val="0"/>
          <c:layout>
            <c:manualLayout>
              <c:x val="1.1111111111111009E-2"/>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innerShdw blurRad="114300">
              <a:schemeClr val="accent1">
                <a:lumMod val="75000"/>
              </a:schemeClr>
            </a:innerShdw>
          </a:effectLst>
        </c:spPr>
        <c:dLbl>
          <c:idx val="0"/>
          <c:layout>
            <c:manualLayout>
              <c:x val="2.777777777777777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innerShdw blurRad="114300">
              <a:schemeClr val="accent1">
                <a:lumMod val="75000"/>
              </a:schemeClr>
            </a:innerShdw>
          </a:effectLst>
        </c:spPr>
        <c:dLbl>
          <c:idx val="0"/>
          <c:layout>
            <c:manualLayout>
              <c:x val="-2.2222222222222324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innerShdw blurRad="114300">
              <a:schemeClr val="accent1">
                <a:lumMod val="75000"/>
              </a:schemeClr>
            </a:innerShdw>
          </a:effectLst>
        </c:spPr>
        <c:dLbl>
          <c:idx val="0"/>
          <c:layout>
            <c:manualLayout>
              <c:x val="-1.6666666666666666E-2"/>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innerShdw blurRad="114300">
              <a:schemeClr val="accent1">
                <a:lumMod val="75000"/>
              </a:schemeClr>
            </a:innerShdw>
          </a:effectLst>
        </c:spPr>
        <c:dLbl>
          <c:idx val="0"/>
          <c:layout>
            <c:manualLayout>
              <c:x val="-8.3333333333333332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innerShdw blurRad="114300">
              <a:schemeClr val="accent1">
                <a:lumMod val="75000"/>
              </a:schemeClr>
            </a:innerShdw>
          </a:effectLst>
        </c:spPr>
        <c:dLbl>
          <c:idx val="0"/>
          <c:layout>
            <c:manualLayout>
              <c:x val="-1.6666666666666666E-2"/>
              <c:y val="-0.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innerShdw blurRad="114300">
              <a:schemeClr val="accent1">
                <a:lumMod val="75000"/>
              </a:schemeClr>
            </a:innerShdw>
          </a:effectLst>
        </c:spPr>
        <c:dLbl>
          <c:idx val="0"/>
          <c:layout>
            <c:manualLayout>
              <c:x val="-8.3333333333333454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innerShdw blurRad="114300">
              <a:schemeClr val="accent1">
                <a:lumMod val="75000"/>
              </a:schemeClr>
            </a:innerShdw>
          </a:effectLst>
        </c:spPr>
        <c:dLbl>
          <c:idx val="0"/>
          <c:layout>
            <c:manualLayout>
              <c:x val="-3.1828336020049982E-18"/>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Sheet3!$B$44</c:f>
              <c:strCache>
                <c:ptCount val="1"/>
                <c:pt idx="0">
                  <c:v>Total</c:v>
                </c:pt>
              </c:strCache>
            </c:strRef>
          </c:tx>
          <c:spPr>
            <a:solidFill>
              <a:schemeClr val="accent4"/>
            </a:solidFill>
            <a:ln>
              <a:noFill/>
            </a:ln>
            <a:effectLst>
              <a:innerShdw blurRad="114300">
                <a:schemeClr val="accent1">
                  <a:lumMod val="75000"/>
                </a:schemeClr>
              </a:innerShdw>
            </a:effectLst>
          </c:spPr>
          <c:dPt>
            <c:idx val="0"/>
            <c:bubble3D val="0"/>
            <c:extLst>
              <c:ext xmlns:c16="http://schemas.microsoft.com/office/drawing/2014/chart" uri="{C3380CC4-5D6E-409C-BE32-E72D297353CC}">
                <c16:uniqueId val="{0000000C-9520-4DD3-92FD-2DC9B8A04AF9}"/>
              </c:ext>
            </c:extLst>
          </c:dPt>
          <c:dPt>
            <c:idx val="1"/>
            <c:bubble3D val="0"/>
            <c:extLst>
              <c:ext xmlns:c16="http://schemas.microsoft.com/office/drawing/2014/chart" uri="{C3380CC4-5D6E-409C-BE32-E72D297353CC}">
                <c16:uniqueId val="{0000000B-9520-4DD3-92FD-2DC9B8A04AF9}"/>
              </c:ext>
            </c:extLst>
          </c:dPt>
          <c:dPt>
            <c:idx val="2"/>
            <c:bubble3D val="0"/>
            <c:extLst>
              <c:ext xmlns:c16="http://schemas.microsoft.com/office/drawing/2014/chart" uri="{C3380CC4-5D6E-409C-BE32-E72D297353CC}">
                <c16:uniqueId val="{0000000A-9520-4DD3-92FD-2DC9B8A04AF9}"/>
              </c:ext>
            </c:extLst>
          </c:dPt>
          <c:dPt>
            <c:idx val="3"/>
            <c:bubble3D val="0"/>
            <c:extLst>
              <c:ext xmlns:c16="http://schemas.microsoft.com/office/drawing/2014/chart" uri="{C3380CC4-5D6E-409C-BE32-E72D297353CC}">
                <c16:uniqueId val="{00000009-9520-4DD3-92FD-2DC9B8A04AF9}"/>
              </c:ext>
            </c:extLst>
          </c:dPt>
          <c:dPt>
            <c:idx val="4"/>
            <c:bubble3D val="0"/>
            <c:extLst>
              <c:ext xmlns:c16="http://schemas.microsoft.com/office/drawing/2014/chart" uri="{C3380CC4-5D6E-409C-BE32-E72D297353CC}">
                <c16:uniqueId val="{00000008-9520-4DD3-92FD-2DC9B8A04AF9}"/>
              </c:ext>
            </c:extLst>
          </c:dPt>
          <c:dPt>
            <c:idx val="5"/>
            <c:bubble3D val="0"/>
            <c:extLst>
              <c:ext xmlns:c16="http://schemas.microsoft.com/office/drawing/2014/chart" uri="{C3380CC4-5D6E-409C-BE32-E72D297353CC}">
                <c16:uniqueId val="{00000007-9520-4DD3-92FD-2DC9B8A04AF9}"/>
              </c:ext>
            </c:extLst>
          </c:dPt>
          <c:dPt>
            <c:idx val="6"/>
            <c:bubble3D val="0"/>
            <c:extLst>
              <c:ext xmlns:c16="http://schemas.microsoft.com/office/drawing/2014/chart" uri="{C3380CC4-5D6E-409C-BE32-E72D297353CC}">
                <c16:uniqueId val="{00000006-9520-4DD3-92FD-2DC9B8A04AF9}"/>
              </c:ext>
            </c:extLst>
          </c:dPt>
          <c:dPt>
            <c:idx val="7"/>
            <c:bubble3D val="0"/>
            <c:extLst>
              <c:ext xmlns:c16="http://schemas.microsoft.com/office/drawing/2014/chart" uri="{C3380CC4-5D6E-409C-BE32-E72D297353CC}">
                <c16:uniqueId val="{00000005-9520-4DD3-92FD-2DC9B8A04AF9}"/>
              </c:ext>
            </c:extLst>
          </c:dPt>
          <c:dPt>
            <c:idx val="8"/>
            <c:bubble3D val="0"/>
            <c:extLst>
              <c:ext xmlns:c16="http://schemas.microsoft.com/office/drawing/2014/chart" uri="{C3380CC4-5D6E-409C-BE32-E72D297353CC}">
                <c16:uniqueId val="{00000004-9520-4DD3-92FD-2DC9B8A04AF9}"/>
              </c:ext>
            </c:extLst>
          </c:dPt>
          <c:dLbls>
            <c:dLbl>
              <c:idx val="0"/>
              <c:layout>
                <c:manualLayout>
                  <c:x val="-3.1828336020049982E-18"/>
                  <c:y val="-0.180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520-4DD3-92FD-2DC9B8A04AF9}"/>
                </c:ext>
              </c:extLst>
            </c:dLbl>
            <c:dLbl>
              <c:idx val="1"/>
              <c:layout>
                <c:manualLayout>
                  <c:x val="-8.3333333333333454E-3"/>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520-4DD3-92FD-2DC9B8A04AF9}"/>
                </c:ext>
              </c:extLst>
            </c:dLbl>
            <c:dLbl>
              <c:idx val="2"/>
              <c:layout>
                <c:manualLayout>
                  <c:x val="-1.6666666666666666E-2"/>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520-4DD3-92FD-2DC9B8A04AF9}"/>
                </c:ext>
              </c:extLst>
            </c:dLbl>
            <c:dLbl>
              <c:idx val="3"/>
              <c:layout>
                <c:manualLayout>
                  <c:x val="-8.3333333333333332E-3"/>
                  <c:y val="-0.250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520-4DD3-92FD-2DC9B8A04AF9}"/>
                </c:ext>
              </c:extLst>
            </c:dLbl>
            <c:dLbl>
              <c:idx val="4"/>
              <c:layout>
                <c:manualLayout>
                  <c:x val="-1.6666666666666666E-2"/>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520-4DD3-92FD-2DC9B8A04AF9}"/>
                </c:ext>
              </c:extLst>
            </c:dLbl>
            <c:dLbl>
              <c:idx val="5"/>
              <c:layout>
                <c:manualLayout>
                  <c:x val="-2.2222222222222324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20-4DD3-92FD-2DC9B8A04AF9}"/>
                </c:ext>
              </c:extLst>
            </c:dLbl>
            <c:dLbl>
              <c:idx val="6"/>
              <c:layout>
                <c:manualLayout>
                  <c:x val="2.7777777777777779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20-4DD3-92FD-2DC9B8A04AF9}"/>
                </c:ext>
              </c:extLst>
            </c:dLbl>
            <c:dLbl>
              <c:idx val="7"/>
              <c:layout>
                <c:manualLayout>
                  <c:x val="1.1111111111111009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20-4DD3-92FD-2DC9B8A04AF9}"/>
                </c:ext>
              </c:extLst>
            </c:dLbl>
            <c:dLbl>
              <c:idx val="8"/>
              <c:layout>
                <c:manualLayout>
                  <c:x val="-5.5555555555556572E-3"/>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20-4DD3-92FD-2DC9B8A04AF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Sheet3!$A$45:$A$54</c:f>
              <c:strCache>
                <c:ptCount val="9"/>
                <c:pt idx="0">
                  <c:v>2011</c:v>
                </c:pt>
                <c:pt idx="1">
                  <c:v>2012</c:v>
                </c:pt>
                <c:pt idx="2">
                  <c:v>2014</c:v>
                </c:pt>
                <c:pt idx="3">
                  <c:v>2015</c:v>
                </c:pt>
                <c:pt idx="4">
                  <c:v>2016</c:v>
                </c:pt>
                <c:pt idx="5">
                  <c:v>2017</c:v>
                </c:pt>
                <c:pt idx="6">
                  <c:v>2018</c:v>
                </c:pt>
                <c:pt idx="7">
                  <c:v>2020</c:v>
                </c:pt>
                <c:pt idx="8">
                  <c:v>2022</c:v>
                </c:pt>
              </c:strCache>
            </c:strRef>
          </c:cat>
          <c:val>
            <c:numRef>
              <c:f>Sheet3!$B$45:$B$54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520-4DD3-92FD-2DC9B8A04AF9}"/>
            </c:ext>
          </c:extLst>
        </c:ser>
        <c:dLbls>
          <c:showLegendKey val="0"/>
          <c:showVal val="1"/>
          <c:showCatName val="0"/>
          <c:showSerName val="0"/>
          <c:showPercent val="0"/>
          <c:showBubbleSize val="0"/>
        </c:dLbls>
        <c:dropLines>
          <c:spPr>
            <a:ln w="9525">
              <a:solidFill>
                <a:schemeClr val="tx1">
                  <a:lumMod val="35000"/>
                  <a:lumOff val="65000"/>
                </a:schemeClr>
              </a:solidFill>
              <a:round/>
            </a:ln>
            <a:effectLst/>
          </c:spPr>
        </c:dropLines>
        <c:axId val="1558863280"/>
        <c:axId val="1558875760"/>
      </c:areaChart>
      <c:catAx>
        <c:axId val="155886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58875760"/>
        <c:crosses val="autoZero"/>
        <c:auto val="1"/>
        <c:lblAlgn val="ctr"/>
        <c:lblOffset val="100"/>
        <c:noMultiLvlLbl val="0"/>
      </c:catAx>
      <c:valAx>
        <c:axId val="1558875760"/>
        <c:scaling>
          <c:orientation val="minMax"/>
        </c:scaling>
        <c:delete val="1"/>
        <c:axPos val="l"/>
        <c:majorGridlines>
          <c:spPr>
            <a:ln w="9525" cap="flat" cmpd="sng" algn="ctr">
              <a:solidFill>
                <a:schemeClr val="tx1">
                  <a:lumMod val="5000"/>
                  <a:lumOff val="95000"/>
                </a:schemeClr>
              </a:solidFill>
              <a:round/>
            </a:ln>
            <a:effectLst/>
          </c:spPr>
        </c:majorGridlines>
        <c:numFmt formatCode="&quot;$&quot;0.0,&quot;k&quot;" sourceLinked="1"/>
        <c:majorTickMark val="none"/>
        <c:minorTickMark val="none"/>
        <c:tickLblPos val="nextTo"/>
        <c:crossAx val="1558863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c:name>
    <c:fmtId val="2"/>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Sheet3!$B$81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Sheet3!$A$82:$A$86</c:f>
              <c:strCache>
                <c:ptCount val="4"/>
                <c:pt idx="0">
                  <c:v>Supermarket Type3</c:v>
                </c:pt>
                <c:pt idx="1">
                  <c:v>Supermarket Type2</c:v>
                </c:pt>
                <c:pt idx="2">
                  <c:v>Grocery Store</c:v>
                </c:pt>
                <c:pt idx="3">
                  <c:v>Supermarket Type1</c:v>
                </c:pt>
              </c:strCache>
            </c:strRef>
          </c:cat>
          <c:val>
            <c:numRef>
              <c:f>Sheet3!$B$82:$B$86</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9E44-44B5-8A2F-7FCB7F471F0A}"/>
            </c:ext>
          </c:extLst>
        </c:ser>
        <c:dLbls>
          <c:dLblPos val="outEnd"/>
          <c:showLegendKey val="0"/>
          <c:showVal val="1"/>
          <c:showCatName val="0"/>
          <c:showSerName val="0"/>
          <c:showPercent val="0"/>
          <c:showBubbleSize val="0"/>
        </c:dLbls>
        <c:gapWidth val="182"/>
        <c:axId val="1119372383"/>
        <c:axId val="1119373343"/>
      </c:barChart>
      <c:catAx>
        <c:axId val="1119372383"/>
        <c:scaling>
          <c:orientation val="minMax"/>
        </c:scaling>
        <c:delete val="1"/>
        <c:axPos val="l"/>
        <c:numFmt formatCode="General" sourceLinked="1"/>
        <c:majorTickMark val="none"/>
        <c:minorTickMark val="none"/>
        <c:tickLblPos val="nextTo"/>
        <c:crossAx val="1119373343"/>
        <c:crosses val="autoZero"/>
        <c:auto val="1"/>
        <c:lblAlgn val="ctr"/>
        <c:lblOffset val="100"/>
        <c:noMultiLvlLbl val="0"/>
      </c:catAx>
      <c:valAx>
        <c:axId val="1119373343"/>
        <c:scaling>
          <c:orientation val="minMax"/>
        </c:scaling>
        <c:delete val="1"/>
        <c:axPos val="b"/>
        <c:numFmt formatCode="&quot;$&quot;0.00,&quot;K&quot;" sourceLinked="1"/>
        <c:majorTickMark val="none"/>
        <c:minorTickMark val="none"/>
        <c:tickLblPos val="nextTo"/>
        <c:crossAx val="111937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Excel.xlsx]Sheet3!PivotTable7</c:name>
    <c:fmtId val="3"/>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Sheet3!$B$90</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Sheet3!$A$91:$A$95</c:f>
              <c:strCache>
                <c:ptCount val="4"/>
                <c:pt idx="0">
                  <c:v>Supermarket Type3</c:v>
                </c:pt>
                <c:pt idx="1">
                  <c:v>Grocery Store</c:v>
                </c:pt>
                <c:pt idx="2">
                  <c:v>Supermarket Type1</c:v>
                </c:pt>
                <c:pt idx="3">
                  <c:v>Supermarket Type2</c:v>
                </c:pt>
              </c:strCache>
            </c:strRef>
          </c:cat>
          <c:val>
            <c:numRef>
              <c:f>Sheet3!$B$91:$B$95</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01CD-4E06-8D0A-91DB0AE41861}"/>
            </c:ext>
          </c:extLst>
        </c:ser>
        <c:dLbls>
          <c:dLblPos val="outEnd"/>
          <c:showLegendKey val="0"/>
          <c:showVal val="1"/>
          <c:showCatName val="0"/>
          <c:showSerName val="0"/>
          <c:showPercent val="0"/>
          <c:showBubbleSize val="0"/>
        </c:dLbls>
        <c:gapWidth val="182"/>
        <c:axId val="1119382463"/>
        <c:axId val="1119382943"/>
      </c:barChart>
      <c:catAx>
        <c:axId val="1119382463"/>
        <c:scaling>
          <c:orientation val="minMax"/>
        </c:scaling>
        <c:delete val="1"/>
        <c:axPos val="l"/>
        <c:numFmt formatCode="General" sourceLinked="1"/>
        <c:majorTickMark val="none"/>
        <c:minorTickMark val="none"/>
        <c:tickLblPos val="nextTo"/>
        <c:crossAx val="1119382943"/>
        <c:crosses val="autoZero"/>
        <c:auto val="1"/>
        <c:lblAlgn val="ctr"/>
        <c:lblOffset val="100"/>
        <c:noMultiLvlLbl val="0"/>
      </c:catAx>
      <c:valAx>
        <c:axId val="1119382943"/>
        <c:scaling>
          <c:orientation val="minMax"/>
        </c:scaling>
        <c:delete val="1"/>
        <c:axPos val="b"/>
        <c:numFmt formatCode="&quot;$&quot;0.0&quot;K&quot;" sourceLinked="1"/>
        <c:majorTickMark val="none"/>
        <c:minorTickMark val="none"/>
        <c:tickLblPos val="nextTo"/>
        <c:crossAx val="111938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Excel.xlsx]Sheet3!PivotTable8</c:name>
    <c:fmtId val="2"/>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Sheet3!$B$99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Sheet3!$A$100:$A$104</c:f>
              <c:strCache>
                <c:ptCount val="4"/>
                <c:pt idx="0">
                  <c:v>Supermarket Type2</c:v>
                </c:pt>
                <c:pt idx="1">
                  <c:v>Supermarket Type3</c:v>
                </c:pt>
                <c:pt idx="2">
                  <c:v>Grocery Store</c:v>
                </c:pt>
                <c:pt idx="3">
                  <c:v>Supermarket Type1</c:v>
                </c:pt>
              </c:strCache>
            </c:strRef>
          </c:cat>
          <c:val>
            <c:numRef>
              <c:f>Sheet3!$B$100:$B$104</c:f>
              <c:numCache>
                <c:formatCode>"$"000"K"</c:formatCode>
                <c:ptCount val="4"/>
                <c:pt idx="0">
                  <c:v>928</c:v>
                </c:pt>
                <c:pt idx="1">
                  <c:v>935</c:v>
                </c:pt>
                <c:pt idx="2">
                  <c:v>1083</c:v>
                </c:pt>
                <c:pt idx="3">
                  <c:v>5577</c:v>
                </c:pt>
              </c:numCache>
            </c:numRef>
          </c:val>
          <c:extLst>
            <c:ext xmlns:c16="http://schemas.microsoft.com/office/drawing/2014/chart" uri="{C3380CC4-5D6E-409C-BE32-E72D297353CC}">
              <c16:uniqueId val="{00000000-8149-4489-95EC-AF25CC1737D5}"/>
            </c:ext>
          </c:extLst>
        </c:ser>
        <c:dLbls>
          <c:dLblPos val="outEnd"/>
          <c:showLegendKey val="0"/>
          <c:showVal val="1"/>
          <c:showCatName val="0"/>
          <c:showSerName val="0"/>
          <c:showPercent val="0"/>
          <c:showBubbleSize val="0"/>
        </c:dLbls>
        <c:gapWidth val="182"/>
        <c:axId val="1119234623"/>
        <c:axId val="1119237983"/>
      </c:barChart>
      <c:catAx>
        <c:axId val="1119234623"/>
        <c:scaling>
          <c:orientation val="minMax"/>
        </c:scaling>
        <c:delete val="1"/>
        <c:axPos val="l"/>
        <c:numFmt formatCode="General" sourceLinked="1"/>
        <c:majorTickMark val="none"/>
        <c:minorTickMark val="none"/>
        <c:tickLblPos val="nextTo"/>
        <c:crossAx val="1119237983"/>
        <c:crosses val="autoZero"/>
        <c:auto val="1"/>
        <c:lblAlgn val="ctr"/>
        <c:lblOffset val="100"/>
        <c:noMultiLvlLbl val="0"/>
      </c:catAx>
      <c:valAx>
        <c:axId val="1119237983"/>
        <c:scaling>
          <c:orientation val="minMax"/>
        </c:scaling>
        <c:delete val="1"/>
        <c:axPos val="b"/>
        <c:numFmt formatCode="&quot;$&quot;000&quot;K&quot;" sourceLinked="1"/>
        <c:majorTickMark val="none"/>
        <c:minorTickMark val="none"/>
        <c:tickLblPos val="nextTo"/>
        <c:crossAx val="111923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3DBEDC8-CED9-4AF4-BB55-5389A78ABA63}">
          <cx:dataPt idx="0">
            <cx:spPr>
              <a:solidFill>
                <a:srgbClr val="FFC000"/>
              </a:solidFill>
            </cx:spPr>
          </cx:dataPt>
          <cx:dataPt idx="1">
            <cx:spPr>
              <a:solidFill>
                <a:srgbClr val="FFFF00"/>
              </a:solidFill>
            </cx:spPr>
          </cx:dataPt>
          <cx:dataPt idx="2">
            <cx:spPr>
              <a:solidFill>
                <a:srgbClr val="92D050"/>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3DBEDC8-CED9-4AF4-BB55-5389A78ABA63}">
          <cx:dataPt idx="0">
            <cx:spPr>
              <a:solidFill>
                <a:srgbClr val="FFC000"/>
              </a:solidFill>
            </cx:spPr>
          </cx:dataPt>
          <cx:dataPt idx="1">
            <cx:spPr>
              <a:solidFill>
                <a:srgbClr val="FFFF00"/>
              </a:solidFill>
            </cx:spPr>
          </cx:dataPt>
          <cx:dataPt idx="2">
            <cx:spPr>
              <a:solidFill>
                <a:srgbClr val="92D050"/>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29179</xdr:colOff>
      <xdr:row>7</xdr:row>
      <xdr:rowOff>37603</xdr:rowOff>
    </xdr:from>
    <xdr:to>
      <xdr:col>23</xdr:col>
      <xdr:colOff>304856</xdr:colOff>
      <xdr:row>38</xdr:row>
      <xdr:rowOff>190013</xdr:rowOff>
    </xdr:to>
    <xdr:sp macro="" textlink="">
      <xdr:nvSpPr>
        <xdr:cNvPr id="2" name="Rectangle: Rounded Corners 1">
          <a:extLst>
            <a:ext uri="{FF2B5EF4-FFF2-40B4-BE49-F238E27FC236}">
              <a16:creationId xmlns:a16="http://schemas.microsoft.com/office/drawing/2014/main" id="{A07E872B-6A53-4534-BED8-EC3516605997}"/>
            </a:ext>
          </a:extLst>
        </xdr:cNvPr>
        <xdr:cNvSpPr/>
      </xdr:nvSpPr>
      <xdr:spPr>
        <a:xfrm>
          <a:off x="3374545" y="1425310"/>
          <a:ext cx="12318994" cy="6297971"/>
        </a:xfrm>
        <a:prstGeom prst="roundRect">
          <a:avLst>
            <a:gd name="adj" fmla="val 2805"/>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7</xdr:row>
      <xdr:rowOff>160019</xdr:rowOff>
    </xdr:from>
    <xdr:to>
      <xdr:col>8</xdr:col>
      <xdr:colOff>0</xdr:colOff>
      <xdr:row>38</xdr:row>
      <xdr:rowOff>90984</xdr:rowOff>
    </xdr:to>
    <xdr:sp macro="" textlink="">
      <xdr:nvSpPr>
        <xdr:cNvPr id="3" name="Rectangle: Top Corners Rounded 2">
          <a:extLst>
            <a:ext uri="{FF2B5EF4-FFF2-40B4-BE49-F238E27FC236}">
              <a16:creationId xmlns:a16="http://schemas.microsoft.com/office/drawing/2014/main" id="{06F55DDD-AD04-4026-BFAE-83CA5DA46C66}"/>
            </a:ext>
          </a:extLst>
        </xdr:cNvPr>
        <xdr:cNvSpPr/>
      </xdr:nvSpPr>
      <xdr:spPr>
        <a:xfrm rot="5400000">
          <a:off x="1437393" y="3507304"/>
          <a:ext cx="5924607" cy="1936844"/>
        </a:xfrm>
        <a:prstGeom prst="round2SameRect">
          <a:avLst/>
        </a:prstGeom>
        <a:solidFill>
          <a:srgbClr val="FFC000"/>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92925</xdr:colOff>
      <xdr:row>7</xdr:row>
      <xdr:rowOff>142900</xdr:rowOff>
    </xdr:from>
    <xdr:to>
      <xdr:col>10</xdr:col>
      <xdr:colOff>595845</xdr:colOff>
      <xdr:row>11</xdr:row>
      <xdr:rowOff>188422</xdr:rowOff>
    </xdr:to>
    <xdr:sp macro="" textlink="">
      <xdr:nvSpPr>
        <xdr:cNvPr id="4" name="Rectangle: Rounded Corners 3">
          <a:extLst>
            <a:ext uri="{FF2B5EF4-FFF2-40B4-BE49-F238E27FC236}">
              <a16:creationId xmlns:a16="http://schemas.microsoft.com/office/drawing/2014/main" id="{CF962108-8E59-432C-99FD-F2C3549B7F16}"/>
            </a:ext>
          </a:extLst>
        </xdr:cNvPr>
        <xdr:cNvSpPr/>
      </xdr:nvSpPr>
      <xdr:spPr>
        <a:xfrm>
          <a:off x="5476406" y="1528355"/>
          <a:ext cx="1848790" cy="837210"/>
        </a:xfrm>
        <a:prstGeom prst="roundRect">
          <a:avLst/>
        </a:prstGeom>
        <a:gradFill flip="none" rotWithShape="1">
          <a:gsLst>
            <a:gs pos="0">
              <a:srgbClr val="FFFF00">
                <a:lumMod val="100000"/>
              </a:srgbClr>
            </a:gs>
            <a:gs pos="44750">
              <a:srgbClr val="9ECEB4"/>
            </a:gs>
            <a:gs pos="26000">
              <a:schemeClr val="bg1">
                <a:lumMod val="75000"/>
              </a:schemeClr>
            </a:gs>
            <a:gs pos="63000">
              <a:srgbClr val="00B050"/>
            </a:gs>
            <a:gs pos="100000">
              <a:schemeClr val="accent6">
                <a:lumMod val="5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37902</xdr:colOff>
      <xdr:row>12</xdr:row>
      <xdr:rowOff>38496</xdr:rowOff>
    </xdr:from>
    <xdr:to>
      <xdr:col>13</xdr:col>
      <xdr:colOff>604157</xdr:colOff>
      <xdr:row>16</xdr:row>
      <xdr:rowOff>68976</xdr:rowOff>
    </xdr:to>
    <xdr:sp macro="" textlink="">
      <xdr:nvSpPr>
        <xdr:cNvPr id="5" name="Rectangle: Rounded Corners 4">
          <a:extLst>
            <a:ext uri="{FF2B5EF4-FFF2-40B4-BE49-F238E27FC236}">
              <a16:creationId xmlns:a16="http://schemas.microsoft.com/office/drawing/2014/main" id="{2530472C-12A2-4B9A-9C16-752DC05391F4}"/>
            </a:ext>
          </a:extLst>
        </xdr:cNvPr>
        <xdr:cNvSpPr/>
      </xdr:nvSpPr>
      <xdr:spPr>
        <a:xfrm>
          <a:off x="7440188" y="2413561"/>
          <a:ext cx="1912125" cy="822168"/>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35230</xdr:colOff>
      <xdr:row>7</xdr:row>
      <xdr:rowOff>149728</xdr:rowOff>
    </xdr:from>
    <xdr:to>
      <xdr:col>13</xdr:col>
      <xdr:colOff>601485</xdr:colOff>
      <xdr:row>11</xdr:row>
      <xdr:rowOff>180208</xdr:rowOff>
    </xdr:to>
    <xdr:sp macro="" textlink="">
      <xdr:nvSpPr>
        <xdr:cNvPr id="6" name="Rectangle: Rounded Corners 5">
          <a:extLst>
            <a:ext uri="{FF2B5EF4-FFF2-40B4-BE49-F238E27FC236}">
              <a16:creationId xmlns:a16="http://schemas.microsoft.com/office/drawing/2014/main" id="{90DC043A-9AC2-499E-AE3C-8410BCD01595}"/>
            </a:ext>
          </a:extLst>
        </xdr:cNvPr>
        <xdr:cNvSpPr/>
      </xdr:nvSpPr>
      <xdr:spPr>
        <a:xfrm>
          <a:off x="7437516" y="1535183"/>
          <a:ext cx="1912125" cy="822168"/>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105493</xdr:colOff>
      <xdr:row>12</xdr:row>
      <xdr:rowOff>38892</xdr:rowOff>
    </xdr:from>
    <xdr:to>
      <xdr:col>10</xdr:col>
      <xdr:colOff>608413</xdr:colOff>
      <xdr:row>16</xdr:row>
      <xdr:rowOff>69372</xdr:rowOff>
    </xdr:to>
    <xdr:sp macro="" textlink="">
      <xdr:nvSpPr>
        <xdr:cNvPr id="7" name="Rectangle: Rounded Corners 6">
          <a:extLst>
            <a:ext uri="{FF2B5EF4-FFF2-40B4-BE49-F238E27FC236}">
              <a16:creationId xmlns:a16="http://schemas.microsoft.com/office/drawing/2014/main" id="{6633EB50-4C25-4FFE-A947-B3F0FB096053}"/>
            </a:ext>
          </a:extLst>
        </xdr:cNvPr>
        <xdr:cNvSpPr/>
      </xdr:nvSpPr>
      <xdr:spPr>
        <a:xfrm>
          <a:off x="5488974" y="2413957"/>
          <a:ext cx="1848790" cy="822168"/>
        </a:xfrm>
        <a:prstGeom prst="round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68580</xdr:colOff>
      <xdr:row>16</xdr:row>
      <xdr:rowOff>137160</xdr:rowOff>
    </xdr:from>
    <xdr:to>
      <xdr:col>14</xdr:col>
      <xdr:colOff>7620</xdr:colOff>
      <xdr:row>38</xdr:row>
      <xdr:rowOff>79612</xdr:rowOff>
    </xdr:to>
    <xdr:sp macro="" textlink="">
      <xdr:nvSpPr>
        <xdr:cNvPr id="8" name="Rectangle: Rounded Corners 7">
          <a:extLst>
            <a:ext uri="{FF2B5EF4-FFF2-40B4-BE49-F238E27FC236}">
              <a16:creationId xmlns:a16="http://schemas.microsoft.com/office/drawing/2014/main" id="{671D0A0A-2041-466A-B157-86356936A6FD}"/>
            </a:ext>
          </a:extLst>
        </xdr:cNvPr>
        <xdr:cNvSpPr/>
      </xdr:nvSpPr>
      <xdr:spPr>
        <a:xfrm>
          <a:off x="5436699" y="3230653"/>
          <a:ext cx="3965130" cy="4196004"/>
        </a:xfrm>
        <a:prstGeom prst="roundRect">
          <a:avLst>
            <a:gd name="adj" fmla="val 4167"/>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90984</xdr:colOff>
      <xdr:row>7</xdr:row>
      <xdr:rowOff>152399</xdr:rowOff>
    </xdr:from>
    <xdr:to>
      <xdr:col>23</xdr:col>
      <xdr:colOff>180109</xdr:colOff>
      <xdr:row>38</xdr:row>
      <xdr:rowOff>90984</xdr:rowOff>
    </xdr:to>
    <xdr:sp macro="" textlink="">
      <xdr:nvSpPr>
        <xdr:cNvPr id="9" name="Rectangle: Rounded Corners 8">
          <a:extLst>
            <a:ext uri="{FF2B5EF4-FFF2-40B4-BE49-F238E27FC236}">
              <a16:creationId xmlns:a16="http://schemas.microsoft.com/office/drawing/2014/main" id="{F072AE2E-6390-4FB9-B1E6-E83046EA0E7C}"/>
            </a:ext>
          </a:extLst>
        </xdr:cNvPr>
        <xdr:cNvSpPr/>
      </xdr:nvSpPr>
      <xdr:spPr>
        <a:xfrm>
          <a:off x="9401239" y="1510144"/>
          <a:ext cx="6074288" cy="5951458"/>
        </a:xfrm>
        <a:prstGeom prst="roundRect">
          <a:avLst>
            <a:gd name="adj" fmla="val 2178"/>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144780</xdr:colOff>
      <xdr:row>8</xdr:row>
      <xdr:rowOff>38100</xdr:rowOff>
    </xdr:from>
    <xdr:to>
      <xdr:col>9</xdr:col>
      <xdr:colOff>495300</xdr:colOff>
      <xdr:row>9</xdr:row>
      <xdr:rowOff>160020</xdr:rowOff>
    </xdr:to>
    <xdr:sp macro="" textlink="Sheet3!A6">
      <xdr:nvSpPr>
        <xdr:cNvPr id="10" name="TextBox 9">
          <a:extLst>
            <a:ext uri="{FF2B5EF4-FFF2-40B4-BE49-F238E27FC236}">
              <a16:creationId xmlns:a16="http://schemas.microsoft.com/office/drawing/2014/main" id="{ABE5002D-DC88-41B0-8E04-4DE5CEC97FA9}"/>
            </a:ext>
          </a:extLst>
        </xdr:cNvPr>
        <xdr:cNvSpPr txBox="1"/>
      </xdr:nvSpPr>
      <xdr:spPr>
        <a:xfrm>
          <a:off x="5509260" y="1623060"/>
          <a:ext cx="10210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B8565A-F69C-487B-9A9A-60D063A286BD}" type="TxLink">
            <a:rPr lang="en-US" sz="1200" b="1" i="0" u="none" strike="noStrike">
              <a:solidFill>
                <a:srgbClr val="000000"/>
              </a:solidFill>
              <a:latin typeface="Calibri"/>
              <a:ea typeface="Calibri"/>
              <a:cs typeface="Calibri"/>
            </a:rPr>
            <a:pPr/>
            <a:t>$0.25M</a:t>
          </a:fld>
          <a:endParaRPr lang="en-IN" sz="1100" b="1"/>
        </a:p>
      </xdr:txBody>
    </xdr:sp>
    <xdr:clientData/>
  </xdr:twoCellAnchor>
  <xdr:twoCellAnchor>
    <xdr:from>
      <xdr:col>11</xdr:col>
      <xdr:colOff>60960</xdr:colOff>
      <xdr:row>8</xdr:row>
      <xdr:rowOff>30480</xdr:rowOff>
    </xdr:from>
    <xdr:to>
      <xdr:col>12</xdr:col>
      <xdr:colOff>373380</xdr:colOff>
      <xdr:row>9</xdr:row>
      <xdr:rowOff>160020</xdr:rowOff>
    </xdr:to>
    <xdr:sp macro="" textlink="Sheet3!B6">
      <xdr:nvSpPr>
        <xdr:cNvPr id="11" name="TextBox 10">
          <a:extLst>
            <a:ext uri="{FF2B5EF4-FFF2-40B4-BE49-F238E27FC236}">
              <a16:creationId xmlns:a16="http://schemas.microsoft.com/office/drawing/2014/main" id="{D75238D4-549E-49AB-9667-B52BC619E9EE}"/>
            </a:ext>
          </a:extLst>
        </xdr:cNvPr>
        <xdr:cNvSpPr txBox="1"/>
      </xdr:nvSpPr>
      <xdr:spPr>
        <a:xfrm>
          <a:off x="7437120" y="1615440"/>
          <a:ext cx="9829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02FF92-8076-4B90-9E8D-1AD63FC337F0}" type="TxLink">
            <a:rPr lang="en-US" sz="1200" b="1" i="0" u="none" strike="noStrike">
              <a:solidFill>
                <a:srgbClr val="000000"/>
              </a:solidFill>
              <a:latin typeface="Calibri"/>
              <a:ea typeface="Calibri"/>
              <a:cs typeface="Calibri"/>
            </a:rPr>
            <a:pPr/>
            <a:t>$142.0</a:t>
          </a:fld>
          <a:endParaRPr lang="en-IN" sz="1100" b="1"/>
        </a:p>
      </xdr:txBody>
    </xdr:sp>
    <xdr:clientData/>
  </xdr:twoCellAnchor>
  <xdr:twoCellAnchor>
    <xdr:from>
      <xdr:col>8</xdr:col>
      <xdr:colOff>152400</xdr:colOff>
      <xdr:row>12</xdr:row>
      <xdr:rowOff>129540</xdr:rowOff>
    </xdr:from>
    <xdr:to>
      <xdr:col>9</xdr:col>
      <xdr:colOff>525780</xdr:colOff>
      <xdr:row>14</xdr:row>
      <xdr:rowOff>76200</xdr:rowOff>
    </xdr:to>
    <xdr:sp macro="" textlink="Sheet3!C6">
      <xdr:nvSpPr>
        <xdr:cNvPr id="12" name="TextBox 11">
          <a:extLst>
            <a:ext uri="{FF2B5EF4-FFF2-40B4-BE49-F238E27FC236}">
              <a16:creationId xmlns:a16="http://schemas.microsoft.com/office/drawing/2014/main" id="{8A6F7C05-D510-48FD-AB6F-0AD687B3EC8F}"/>
            </a:ext>
          </a:extLst>
        </xdr:cNvPr>
        <xdr:cNvSpPr txBox="1"/>
      </xdr:nvSpPr>
      <xdr:spPr>
        <a:xfrm>
          <a:off x="5516880" y="2506980"/>
          <a:ext cx="10439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F8B9B8-7C41-40CD-8232-0B4A28A10B07}" type="TxLink">
            <a:rPr lang="en-US" sz="1200" b="1" i="0" u="none" strike="noStrike">
              <a:solidFill>
                <a:srgbClr val="000000"/>
              </a:solidFill>
              <a:latin typeface="Calibri"/>
              <a:ea typeface="Calibri"/>
              <a:cs typeface="Calibri"/>
            </a:rPr>
            <a:pPr/>
            <a:t>1753</a:t>
          </a:fld>
          <a:endParaRPr lang="en-IN" sz="1100" b="1"/>
        </a:p>
      </xdr:txBody>
    </xdr:sp>
    <xdr:clientData/>
  </xdr:twoCellAnchor>
  <xdr:twoCellAnchor>
    <xdr:from>
      <xdr:col>11</xdr:col>
      <xdr:colOff>68580</xdr:colOff>
      <xdr:row>12</xdr:row>
      <xdr:rowOff>121920</xdr:rowOff>
    </xdr:from>
    <xdr:to>
      <xdr:col>12</xdr:col>
      <xdr:colOff>403860</xdr:colOff>
      <xdr:row>14</xdr:row>
      <xdr:rowOff>68580</xdr:rowOff>
    </xdr:to>
    <xdr:sp macro="" textlink="Sheet3!D6">
      <xdr:nvSpPr>
        <xdr:cNvPr id="13" name="TextBox 12">
          <a:extLst>
            <a:ext uri="{FF2B5EF4-FFF2-40B4-BE49-F238E27FC236}">
              <a16:creationId xmlns:a16="http://schemas.microsoft.com/office/drawing/2014/main" id="{D49C26EE-5D93-4B0A-B5C6-2BECA75EDBAE}"/>
            </a:ext>
          </a:extLst>
        </xdr:cNvPr>
        <xdr:cNvSpPr txBox="1"/>
      </xdr:nvSpPr>
      <xdr:spPr>
        <a:xfrm>
          <a:off x="6774180" y="2316480"/>
          <a:ext cx="9448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090003-675C-4E85-9D2D-42E3C97DD568}" type="TxLink">
            <a:rPr lang="en-US" sz="1200" b="1" i="0" u="none" strike="noStrike">
              <a:solidFill>
                <a:srgbClr val="000000"/>
              </a:solidFill>
              <a:latin typeface="Calibri"/>
              <a:ea typeface="Calibri"/>
              <a:cs typeface="Calibri"/>
            </a:rPr>
            <a:pPr/>
            <a:t>3.9</a:t>
          </a:fld>
          <a:endParaRPr lang="en-IN" sz="1100" b="1"/>
        </a:p>
      </xdr:txBody>
    </xdr:sp>
    <xdr:clientData/>
  </xdr:twoCellAnchor>
  <xdr:twoCellAnchor>
    <xdr:from>
      <xdr:col>8</xdr:col>
      <xdr:colOff>137160</xdr:colOff>
      <xdr:row>9</xdr:row>
      <xdr:rowOff>175260</xdr:rowOff>
    </xdr:from>
    <xdr:to>
      <xdr:col>9</xdr:col>
      <xdr:colOff>510540</xdr:colOff>
      <xdr:row>11</xdr:row>
      <xdr:rowOff>53340</xdr:rowOff>
    </xdr:to>
    <xdr:sp macro="" textlink="">
      <xdr:nvSpPr>
        <xdr:cNvPr id="14" name="TextBox 13">
          <a:extLst>
            <a:ext uri="{FF2B5EF4-FFF2-40B4-BE49-F238E27FC236}">
              <a16:creationId xmlns:a16="http://schemas.microsoft.com/office/drawing/2014/main" id="{94DBDFD3-2A7D-4A34-81C1-5336D8405044}"/>
            </a:ext>
          </a:extLst>
        </xdr:cNvPr>
        <xdr:cNvSpPr txBox="1"/>
      </xdr:nvSpPr>
      <xdr:spPr>
        <a:xfrm>
          <a:off x="5501640" y="1958340"/>
          <a:ext cx="1043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a:t>
          </a:r>
        </a:p>
      </xdr:txBody>
    </xdr:sp>
    <xdr:clientData/>
  </xdr:twoCellAnchor>
  <xdr:twoCellAnchor>
    <xdr:from>
      <xdr:col>11</xdr:col>
      <xdr:colOff>83820</xdr:colOff>
      <xdr:row>9</xdr:row>
      <xdr:rowOff>167640</xdr:rowOff>
    </xdr:from>
    <xdr:to>
      <xdr:col>12</xdr:col>
      <xdr:colOff>381000</xdr:colOff>
      <xdr:row>11</xdr:row>
      <xdr:rowOff>60960</xdr:rowOff>
    </xdr:to>
    <xdr:sp macro="" textlink="">
      <xdr:nvSpPr>
        <xdr:cNvPr id="15" name="TextBox 14">
          <a:extLst>
            <a:ext uri="{FF2B5EF4-FFF2-40B4-BE49-F238E27FC236}">
              <a16:creationId xmlns:a16="http://schemas.microsoft.com/office/drawing/2014/main" id="{37879DF7-4CA8-4BD8-B8F8-1F4E37FC2C91}"/>
            </a:ext>
          </a:extLst>
        </xdr:cNvPr>
        <xdr:cNvSpPr txBox="1"/>
      </xdr:nvSpPr>
      <xdr:spPr>
        <a:xfrm>
          <a:off x="6789420" y="1813560"/>
          <a:ext cx="906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Sales</a:t>
          </a:r>
        </a:p>
      </xdr:txBody>
    </xdr:sp>
    <xdr:clientData/>
  </xdr:twoCellAnchor>
  <xdr:twoCellAnchor>
    <xdr:from>
      <xdr:col>8</xdr:col>
      <xdr:colOff>144780</xdr:colOff>
      <xdr:row>14</xdr:row>
      <xdr:rowOff>91440</xdr:rowOff>
    </xdr:from>
    <xdr:to>
      <xdr:col>9</xdr:col>
      <xdr:colOff>541020</xdr:colOff>
      <xdr:row>16</xdr:row>
      <xdr:rowOff>0</xdr:rowOff>
    </xdr:to>
    <xdr:sp macro="" textlink="">
      <xdr:nvSpPr>
        <xdr:cNvPr id="16" name="TextBox 15">
          <a:extLst>
            <a:ext uri="{FF2B5EF4-FFF2-40B4-BE49-F238E27FC236}">
              <a16:creationId xmlns:a16="http://schemas.microsoft.com/office/drawing/2014/main" id="{95ED2E97-4AB9-435B-881D-3DE60869B023}"/>
            </a:ext>
          </a:extLst>
        </xdr:cNvPr>
        <xdr:cNvSpPr txBox="1"/>
      </xdr:nvSpPr>
      <xdr:spPr>
        <a:xfrm>
          <a:off x="5509260" y="2865120"/>
          <a:ext cx="1066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Count of</a:t>
          </a:r>
          <a:r>
            <a:rPr lang="en-IN" sz="1100" b="1" baseline="0"/>
            <a:t> Items</a:t>
          </a:r>
          <a:endParaRPr lang="en-IN" sz="1100" b="1"/>
        </a:p>
      </xdr:txBody>
    </xdr:sp>
    <xdr:clientData/>
  </xdr:twoCellAnchor>
  <xdr:twoCellAnchor>
    <xdr:from>
      <xdr:col>11</xdr:col>
      <xdr:colOff>83820</xdr:colOff>
      <xdr:row>14</xdr:row>
      <xdr:rowOff>60960</xdr:rowOff>
    </xdr:from>
    <xdr:to>
      <xdr:col>12</xdr:col>
      <xdr:colOff>495300</xdr:colOff>
      <xdr:row>15</xdr:row>
      <xdr:rowOff>175260</xdr:rowOff>
    </xdr:to>
    <xdr:sp macro="" textlink="">
      <xdr:nvSpPr>
        <xdr:cNvPr id="17" name="TextBox 16">
          <a:extLst>
            <a:ext uri="{FF2B5EF4-FFF2-40B4-BE49-F238E27FC236}">
              <a16:creationId xmlns:a16="http://schemas.microsoft.com/office/drawing/2014/main" id="{4EB505AE-AB8A-4D85-84BD-BD42F59AB260}"/>
            </a:ext>
          </a:extLst>
        </xdr:cNvPr>
        <xdr:cNvSpPr txBox="1"/>
      </xdr:nvSpPr>
      <xdr:spPr>
        <a:xfrm>
          <a:off x="7459980" y="2834640"/>
          <a:ext cx="10820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Rating</a:t>
          </a:r>
        </a:p>
      </xdr:txBody>
    </xdr:sp>
    <xdr:clientData/>
  </xdr:twoCellAnchor>
  <xdr:twoCellAnchor>
    <xdr:from>
      <xdr:col>5</xdr:col>
      <xdr:colOff>167640</xdr:colOff>
      <xdr:row>8</xdr:row>
      <xdr:rowOff>53340</xdr:rowOff>
    </xdr:from>
    <xdr:to>
      <xdr:col>7</xdr:col>
      <xdr:colOff>556260</xdr:colOff>
      <xdr:row>11</xdr:row>
      <xdr:rowOff>114300</xdr:rowOff>
    </xdr:to>
    <xdr:sp macro="" textlink="">
      <xdr:nvSpPr>
        <xdr:cNvPr id="18" name="TextBox 17">
          <a:extLst>
            <a:ext uri="{FF2B5EF4-FFF2-40B4-BE49-F238E27FC236}">
              <a16:creationId xmlns:a16="http://schemas.microsoft.com/office/drawing/2014/main" id="{1ABBF51C-23EC-3A1D-EA27-4AC848281789}"/>
            </a:ext>
          </a:extLst>
        </xdr:cNvPr>
        <xdr:cNvSpPr txBox="1"/>
      </xdr:nvSpPr>
      <xdr:spPr>
        <a:xfrm>
          <a:off x="3520440" y="1638300"/>
          <a:ext cx="172974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t>blink</a:t>
          </a:r>
          <a:r>
            <a:rPr lang="en-IN" sz="4000" b="1">
              <a:solidFill>
                <a:srgbClr val="00B050"/>
              </a:solidFill>
            </a:rPr>
            <a:t>it</a:t>
          </a:r>
        </a:p>
      </xdr:txBody>
    </xdr:sp>
    <xdr:clientData/>
  </xdr:twoCellAnchor>
  <xdr:twoCellAnchor editAs="oneCell">
    <xdr:from>
      <xdr:col>5</xdr:col>
      <xdr:colOff>129540</xdr:colOff>
      <xdr:row>14</xdr:row>
      <xdr:rowOff>129313</xdr:rowOff>
    </xdr:from>
    <xdr:to>
      <xdr:col>7</xdr:col>
      <xdr:colOff>617220</xdr:colOff>
      <xdr:row>21</xdr:row>
      <xdr:rowOff>42649</xdr:rowOff>
    </xdr:to>
    <mc:AlternateContent xmlns:mc="http://schemas.openxmlformats.org/markup-compatibility/2006" xmlns:a14="http://schemas.microsoft.com/office/drawing/2010/main">
      <mc:Choice Requires="a14">
        <xdr:graphicFrame macro="">
          <xdr:nvGraphicFramePr>
            <xdr:cNvPr id="19" name="Outlet Size 1">
              <a:extLst>
                <a:ext uri="{FF2B5EF4-FFF2-40B4-BE49-F238E27FC236}">
                  <a16:creationId xmlns:a16="http://schemas.microsoft.com/office/drawing/2014/main" id="{B3972269-E368-4ABE-BC34-54AA8EFDDCD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454631" y="2844804"/>
              <a:ext cx="1817716" cy="127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182880</xdr:colOff>
      <xdr:row>11</xdr:row>
      <xdr:rowOff>45720</xdr:rowOff>
    </xdr:from>
    <xdr:to>
      <xdr:col>7</xdr:col>
      <xdr:colOff>571500</xdr:colOff>
      <xdr:row>12</xdr:row>
      <xdr:rowOff>45720</xdr:rowOff>
    </xdr:to>
    <xdr:sp macro="" textlink="">
      <xdr:nvSpPr>
        <xdr:cNvPr id="20" name="TextBox 19">
          <a:extLst>
            <a:ext uri="{FF2B5EF4-FFF2-40B4-BE49-F238E27FC236}">
              <a16:creationId xmlns:a16="http://schemas.microsoft.com/office/drawing/2014/main" id="{2AA0F1D2-1546-C6D4-2751-84241930C55C}"/>
            </a:ext>
          </a:extLst>
        </xdr:cNvPr>
        <xdr:cNvSpPr txBox="1"/>
      </xdr:nvSpPr>
      <xdr:spPr>
        <a:xfrm>
          <a:off x="3535680" y="2225040"/>
          <a:ext cx="17297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India's</a:t>
          </a:r>
          <a:r>
            <a:rPr lang="en-IN" sz="1100" baseline="0"/>
            <a:t> last Minute App</a:t>
          </a:r>
          <a:endParaRPr lang="en-IN" sz="1100"/>
        </a:p>
      </xdr:txBody>
    </xdr:sp>
    <xdr:clientData/>
  </xdr:twoCellAnchor>
  <xdr:twoCellAnchor editAs="oneCell">
    <xdr:from>
      <xdr:col>10</xdr:col>
      <xdr:colOff>91440</xdr:colOff>
      <xdr:row>8</xdr:row>
      <xdr:rowOff>7620</xdr:rowOff>
    </xdr:from>
    <xdr:to>
      <xdr:col>10</xdr:col>
      <xdr:colOff>434340</xdr:colOff>
      <xdr:row>9</xdr:row>
      <xdr:rowOff>105641</xdr:rowOff>
    </xdr:to>
    <xdr:pic>
      <xdr:nvPicPr>
        <xdr:cNvPr id="22" name="Picture 21">
          <a:extLst>
            <a:ext uri="{FF2B5EF4-FFF2-40B4-BE49-F238E27FC236}">
              <a16:creationId xmlns:a16="http://schemas.microsoft.com/office/drawing/2014/main" id="{F47286BE-7726-A7B9-02D7-FD8CE330F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7040" y="1592580"/>
          <a:ext cx="342900" cy="296141"/>
        </a:xfrm>
        <a:prstGeom prst="rect">
          <a:avLst/>
        </a:prstGeom>
      </xdr:spPr>
    </xdr:pic>
    <xdr:clientData/>
  </xdr:twoCellAnchor>
  <xdr:twoCellAnchor editAs="oneCell">
    <xdr:from>
      <xdr:col>5</xdr:col>
      <xdr:colOff>358140</xdr:colOff>
      <xdr:row>12</xdr:row>
      <xdr:rowOff>175260</xdr:rowOff>
    </xdr:from>
    <xdr:to>
      <xdr:col>6</xdr:col>
      <xdr:colOff>38100</xdr:colOff>
      <xdr:row>14</xdr:row>
      <xdr:rowOff>60960</xdr:rowOff>
    </xdr:to>
    <xdr:pic>
      <xdr:nvPicPr>
        <xdr:cNvPr id="24" name="Picture 23">
          <a:extLst>
            <a:ext uri="{FF2B5EF4-FFF2-40B4-BE49-F238E27FC236}">
              <a16:creationId xmlns:a16="http://schemas.microsoft.com/office/drawing/2014/main" id="{652C992B-A8C0-79F6-DD68-E5A87106C9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0940" y="2552700"/>
          <a:ext cx="350520" cy="281940"/>
        </a:xfrm>
        <a:prstGeom prst="rect">
          <a:avLst/>
        </a:prstGeom>
      </xdr:spPr>
    </xdr:pic>
    <xdr:clientData/>
  </xdr:twoCellAnchor>
  <xdr:twoCellAnchor>
    <xdr:from>
      <xdr:col>6</xdr:col>
      <xdr:colOff>30480</xdr:colOff>
      <xdr:row>12</xdr:row>
      <xdr:rowOff>144780</xdr:rowOff>
    </xdr:from>
    <xdr:to>
      <xdr:col>7</xdr:col>
      <xdr:colOff>548640</xdr:colOff>
      <xdr:row>14</xdr:row>
      <xdr:rowOff>0</xdr:rowOff>
    </xdr:to>
    <xdr:sp macro="" textlink="">
      <xdr:nvSpPr>
        <xdr:cNvPr id="25" name="TextBox 24">
          <a:extLst>
            <a:ext uri="{FF2B5EF4-FFF2-40B4-BE49-F238E27FC236}">
              <a16:creationId xmlns:a16="http://schemas.microsoft.com/office/drawing/2014/main" id="{E481794B-DAB2-6DDC-2F41-08D9E9BFCA21}"/>
            </a:ext>
          </a:extLst>
        </xdr:cNvPr>
        <xdr:cNvSpPr txBox="1"/>
      </xdr:nvSpPr>
      <xdr:spPr>
        <a:xfrm>
          <a:off x="4053840" y="2522220"/>
          <a:ext cx="11887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Filter Panel</a:t>
          </a:r>
        </a:p>
      </xdr:txBody>
    </xdr:sp>
    <xdr:clientData/>
  </xdr:twoCellAnchor>
  <xdr:twoCellAnchor editAs="oneCell">
    <xdr:from>
      <xdr:col>7</xdr:col>
      <xdr:colOff>184968</xdr:colOff>
      <xdr:row>37</xdr:row>
      <xdr:rowOff>13042</xdr:rowOff>
    </xdr:from>
    <xdr:to>
      <xdr:col>7</xdr:col>
      <xdr:colOff>442143</xdr:colOff>
      <xdr:row>38</xdr:row>
      <xdr:rowOff>38745</xdr:rowOff>
    </xdr:to>
    <xdr:pic>
      <xdr:nvPicPr>
        <xdr:cNvPr id="27" name="Picture 26">
          <a:extLst>
            <a:ext uri="{FF2B5EF4-FFF2-40B4-BE49-F238E27FC236}">
              <a16:creationId xmlns:a16="http://schemas.microsoft.com/office/drawing/2014/main" id="{769FC75B-AEEB-89D7-841C-7A696A3A94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96668" y="7531442"/>
          <a:ext cx="257175" cy="228903"/>
        </a:xfrm>
        <a:prstGeom prst="rect">
          <a:avLst/>
        </a:prstGeom>
      </xdr:spPr>
    </xdr:pic>
    <xdr:clientData/>
  </xdr:twoCellAnchor>
  <xdr:twoCellAnchor editAs="oneCell">
    <xdr:from>
      <xdr:col>10</xdr:col>
      <xdr:colOff>99060</xdr:colOff>
      <xdr:row>12</xdr:row>
      <xdr:rowOff>129540</xdr:rowOff>
    </xdr:from>
    <xdr:to>
      <xdr:col>10</xdr:col>
      <xdr:colOff>487680</xdr:colOff>
      <xdr:row>14</xdr:row>
      <xdr:rowOff>55678</xdr:rowOff>
    </xdr:to>
    <xdr:pic>
      <xdr:nvPicPr>
        <xdr:cNvPr id="29" name="Picture 28">
          <a:extLst>
            <a:ext uri="{FF2B5EF4-FFF2-40B4-BE49-F238E27FC236}">
              <a16:creationId xmlns:a16="http://schemas.microsoft.com/office/drawing/2014/main" id="{420A773C-F422-6BF3-ED30-573DC8972D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04660" y="2506980"/>
          <a:ext cx="388620" cy="322378"/>
        </a:xfrm>
        <a:prstGeom prst="rect">
          <a:avLst/>
        </a:prstGeom>
      </xdr:spPr>
    </xdr:pic>
    <xdr:clientData/>
  </xdr:twoCellAnchor>
  <xdr:twoCellAnchor editAs="oneCell">
    <xdr:from>
      <xdr:col>13</xdr:col>
      <xdr:colOff>76200</xdr:colOff>
      <xdr:row>12</xdr:row>
      <xdr:rowOff>91441</xdr:rowOff>
    </xdr:from>
    <xdr:to>
      <xdr:col>13</xdr:col>
      <xdr:colOff>419100</xdr:colOff>
      <xdr:row>14</xdr:row>
      <xdr:rowOff>4023</xdr:rowOff>
    </xdr:to>
    <xdr:pic>
      <xdr:nvPicPr>
        <xdr:cNvPr id="31" name="Picture 30">
          <a:extLst>
            <a:ext uri="{FF2B5EF4-FFF2-40B4-BE49-F238E27FC236}">
              <a16:creationId xmlns:a16="http://schemas.microsoft.com/office/drawing/2014/main" id="{6419AAD7-DA76-EFBE-AD06-0ED4ABAF64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93480" y="2468881"/>
          <a:ext cx="342900" cy="308822"/>
        </a:xfrm>
        <a:prstGeom prst="rect">
          <a:avLst/>
        </a:prstGeom>
      </xdr:spPr>
    </xdr:pic>
    <xdr:clientData/>
  </xdr:twoCellAnchor>
  <xdr:twoCellAnchor editAs="oneCell">
    <xdr:from>
      <xdr:col>5</xdr:col>
      <xdr:colOff>134051</xdr:colOff>
      <xdr:row>27</xdr:row>
      <xdr:rowOff>123134</xdr:rowOff>
    </xdr:from>
    <xdr:to>
      <xdr:col>7</xdr:col>
      <xdr:colOff>596900</xdr:colOff>
      <xdr:row>36</xdr:row>
      <xdr:rowOff>153613</xdr:rowOff>
    </xdr:to>
    <mc:AlternateContent xmlns:mc="http://schemas.openxmlformats.org/markup-compatibility/2006" xmlns:a14="http://schemas.microsoft.com/office/drawing/2010/main">
      <mc:Choice Requires="a14">
        <xdr:graphicFrame macro="">
          <xdr:nvGraphicFramePr>
            <xdr:cNvPr id="23" name="Item Type 1">
              <a:extLst>
                <a:ext uri="{FF2B5EF4-FFF2-40B4-BE49-F238E27FC236}">
                  <a16:creationId xmlns:a16="http://schemas.microsoft.com/office/drawing/2014/main" id="{634434F7-AAFB-4213-AF17-769499BCB67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499551" y="5609534"/>
              <a:ext cx="1809049"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106908</xdr:colOff>
      <xdr:row>18</xdr:row>
      <xdr:rowOff>94853</xdr:rowOff>
    </xdr:from>
    <xdr:to>
      <xdr:col>11</xdr:col>
      <xdr:colOff>30708</xdr:colOff>
      <xdr:row>25</xdr:row>
      <xdr:rowOff>178673</xdr:rowOff>
    </xdr:to>
    <xdr:graphicFrame macro="">
      <xdr:nvGraphicFramePr>
        <xdr:cNvPr id="30" name="Chart 29">
          <a:extLst>
            <a:ext uri="{FF2B5EF4-FFF2-40B4-BE49-F238E27FC236}">
              <a16:creationId xmlns:a16="http://schemas.microsoft.com/office/drawing/2014/main" id="{F31FA6B6-29F1-4760-9B9D-05BA8E422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74220</xdr:colOff>
      <xdr:row>18</xdr:row>
      <xdr:rowOff>102357</xdr:rowOff>
    </xdr:from>
    <xdr:to>
      <xdr:col>13</xdr:col>
      <xdr:colOff>609600</xdr:colOff>
      <xdr:row>37</xdr:row>
      <xdr:rowOff>181970</xdr:rowOff>
    </xdr:to>
    <xdr:graphicFrame macro="">
      <xdr:nvGraphicFramePr>
        <xdr:cNvPr id="32" name="Chart 31">
          <a:extLst>
            <a:ext uri="{FF2B5EF4-FFF2-40B4-BE49-F238E27FC236}">
              <a16:creationId xmlns:a16="http://schemas.microsoft.com/office/drawing/2014/main" id="{7291E093-072D-4048-9FC8-B07CB3CBD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38100</xdr:colOff>
      <xdr:row>16</xdr:row>
      <xdr:rowOff>137160</xdr:rowOff>
    </xdr:from>
    <xdr:to>
      <xdr:col>11</xdr:col>
      <xdr:colOff>76200</xdr:colOff>
      <xdr:row>38</xdr:row>
      <xdr:rowOff>79612</xdr:rowOff>
    </xdr:to>
    <xdr:cxnSp macro="">
      <xdr:nvCxnSpPr>
        <xdr:cNvPr id="35" name="Straight Connector 34">
          <a:extLst>
            <a:ext uri="{FF2B5EF4-FFF2-40B4-BE49-F238E27FC236}">
              <a16:creationId xmlns:a16="http://schemas.microsoft.com/office/drawing/2014/main" id="{9D459E99-B552-5990-0DF5-636116481528}"/>
            </a:ext>
          </a:extLst>
        </xdr:cNvPr>
        <xdr:cNvCxnSpPr>
          <a:endCxn id="8" idx="2"/>
        </xdr:cNvCxnSpPr>
      </xdr:nvCxnSpPr>
      <xdr:spPr>
        <a:xfrm flipH="1">
          <a:off x="7419264" y="3230653"/>
          <a:ext cx="38100" cy="41960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125105</xdr:colOff>
      <xdr:row>27</xdr:row>
      <xdr:rowOff>22745</xdr:rowOff>
    </xdr:from>
    <xdr:to>
      <xdr:col>11</xdr:col>
      <xdr:colOff>74220</xdr:colOff>
      <xdr:row>27</xdr:row>
      <xdr:rowOff>22746</xdr:rowOff>
    </xdr:to>
    <xdr:cxnSp macro="">
      <xdr:nvCxnSpPr>
        <xdr:cNvPr id="41" name="Straight Connector 40">
          <a:extLst>
            <a:ext uri="{FF2B5EF4-FFF2-40B4-BE49-F238E27FC236}">
              <a16:creationId xmlns:a16="http://schemas.microsoft.com/office/drawing/2014/main" id="{6714D901-33E5-9A69-944A-6EBEA74EE800}"/>
            </a:ext>
          </a:extLst>
        </xdr:cNvPr>
        <xdr:cNvCxnSpPr>
          <a:cxnSpLocks/>
        </xdr:cNvCxnSpPr>
      </xdr:nvCxnSpPr>
      <xdr:spPr>
        <a:xfrm flipV="1">
          <a:off x="5493224" y="5243014"/>
          <a:ext cx="196216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80067</xdr:colOff>
      <xdr:row>21</xdr:row>
      <xdr:rowOff>12168</xdr:rowOff>
    </xdr:from>
    <xdr:to>
      <xdr:col>10</xdr:col>
      <xdr:colOff>80067</xdr:colOff>
      <xdr:row>22</xdr:row>
      <xdr:rowOff>90984</xdr:rowOff>
    </xdr:to>
    <xdr:sp macro="" textlink="Sheet3!C13">
      <xdr:nvSpPr>
        <xdr:cNvPr id="47" name="TextBox 46">
          <a:extLst>
            <a:ext uri="{FF2B5EF4-FFF2-40B4-BE49-F238E27FC236}">
              <a16:creationId xmlns:a16="http://schemas.microsoft.com/office/drawing/2014/main" id="{F3C6D379-E888-4588-28D6-7E60C5A01D15}"/>
            </a:ext>
          </a:extLst>
        </xdr:cNvPr>
        <xdr:cNvSpPr txBox="1"/>
      </xdr:nvSpPr>
      <xdr:spPr>
        <a:xfrm>
          <a:off x="6119201" y="4072377"/>
          <a:ext cx="671015" cy="272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FA8E4B-0ED5-4D6C-975C-B7C36C8D5BED}" type="TxLink">
            <a:rPr lang="en-US" sz="1200" b="1" i="0" u="none" strike="noStrike">
              <a:solidFill>
                <a:srgbClr val="000000"/>
              </a:solidFill>
              <a:latin typeface="Calibri"/>
              <a:ea typeface="Calibri"/>
              <a:cs typeface="Calibri"/>
            </a:rPr>
            <a:pPr/>
            <a:t>$1.20M</a:t>
          </a:fld>
          <a:endParaRPr lang="en-IN" sz="1100" b="1"/>
        </a:p>
      </xdr:txBody>
    </xdr:sp>
    <xdr:clientData/>
  </xdr:twoCellAnchor>
  <xdr:twoCellAnchor>
    <xdr:from>
      <xdr:col>8</xdr:col>
      <xdr:colOff>90986</xdr:colOff>
      <xdr:row>16</xdr:row>
      <xdr:rowOff>113730</xdr:rowOff>
    </xdr:from>
    <xdr:to>
      <xdr:col>9</xdr:col>
      <xdr:colOff>398061</xdr:colOff>
      <xdr:row>17</xdr:row>
      <xdr:rowOff>181970</xdr:rowOff>
    </xdr:to>
    <xdr:sp macro="" textlink="">
      <xdr:nvSpPr>
        <xdr:cNvPr id="55" name="TextBox 54">
          <a:extLst>
            <a:ext uri="{FF2B5EF4-FFF2-40B4-BE49-F238E27FC236}">
              <a16:creationId xmlns:a16="http://schemas.microsoft.com/office/drawing/2014/main" id="{E8757D71-BA93-8354-AEA0-833F35EF39E5}"/>
            </a:ext>
          </a:extLst>
        </xdr:cNvPr>
        <xdr:cNvSpPr txBox="1"/>
      </xdr:nvSpPr>
      <xdr:spPr>
        <a:xfrm>
          <a:off x="5459105" y="3207223"/>
          <a:ext cx="978090" cy="26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Fat Content</a:t>
          </a:r>
        </a:p>
      </xdr:txBody>
    </xdr:sp>
    <xdr:clientData/>
  </xdr:twoCellAnchor>
  <xdr:twoCellAnchor>
    <xdr:from>
      <xdr:col>11</xdr:col>
      <xdr:colOff>113731</xdr:colOff>
      <xdr:row>16</xdr:row>
      <xdr:rowOff>136476</xdr:rowOff>
    </xdr:from>
    <xdr:to>
      <xdr:col>12</xdr:col>
      <xdr:colOff>409432</xdr:colOff>
      <xdr:row>18</xdr:row>
      <xdr:rowOff>11373</xdr:rowOff>
    </xdr:to>
    <xdr:sp macro="" textlink="">
      <xdr:nvSpPr>
        <xdr:cNvPr id="56" name="TextBox 55">
          <a:extLst>
            <a:ext uri="{FF2B5EF4-FFF2-40B4-BE49-F238E27FC236}">
              <a16:creationId xmlns:a16="http://schemas.microsoft.com/office/drawing/2014/main" id="{EE2033AE-C50C-6E3F-C1A8-A7362E083FD7}"/>
            </a:ext>
          </a:extLst>
        </xdr:cNvPr>
        <xdr:cNvSpPr txBox="1"/>
      </xdr:nvSpPr>
      <xdr:spPr>
        <a:xfrm>
          <a:off x="7494895" y="3229969"/>
          <a:ext cx="966716" cy="26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Item Type</a:t>
          </a:r>
        </a:p>
      </xdr:txBody>
    </xdr:sp>
    <xdr:clientData/>
  </xdr:twoCellAnchor>
  <xdr:twoCellAnchor>
    <xdr:from>
      <xdr:col>8</xdr:col>
      <xdr:colOff>102358</xdr:colOff>
      <xdr:row>28</xdr:row>
      <xdr:rowOff>56866</xdr:rowOff>
    </xdr:from>
    <xdr:to>
      <xdr:col>11</xdr:col>
      <xdr:colOff>45493</xdr:colOff>
      <xdr:row>38</xdr:row>
      <xdr:rowOff>11372</xdr:rowOff>
    </xdr:to>
    <xdr:graphicFrame macro="">
      <xdr:nvGraphicFramePr>
        <xdr:cNvPr id="62" name="Chart 61">
          <a:extLst>
            <a:ext uri="{FF2B5EF4-FFF2-40B4-BE49-F238E27FC236}">
              <a16:creationId xmlns:a16="http://schemas.microsoft.com/office/drawing/2014/main" id="{C142D11A-83BA-410A-AFA8-9637566A8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170597</xdr:colOff>
      <xdr:row>27</xdr:row>
      <xdr:rowOff>102358</xdr:rowOff>
    </xdr:from>
    <xdr:to>
      <xdr:col>10</xdr:col>
      <xdr:colOff>170597</xdr:colOff>
      <xdr:row>29</xdr:row>
      <xdr:rowOff>11373</xdr:rowOff>
    </xdr:to>
    <xdr:sp macro="" textlink="">
      <xdr:nvSpPr>
        <xdr:cNvPr id="69" name="TextBox 68">
          <a:extLst>
            <a:ext uri="{FF2B5EF4-FFF2-40B4-BE49-F238E27FC236}">
              <a16:creationId xmlns:a16="http://schemas.microsoft.com/office/drawing/2014/main" id="{982CB938-7ADB-4855-254D-4FF93F0458C2}"/>
            </a:ext>
          </a:extLst>
        </xdr:cNvPr>
        <xdr:cNvSpPr txBox="1"/>
      </xdr:nvSpPr>
      <xdr:spPr>
        <a:xfrm>
          <a:off x="5538716" y="5322627"/>
          <a:ext cx="1342030" cy="295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Fat By Outlet</a:t>
          </a:r>
        </a:p>
      </xdr:txBody>
    </xdr:sp>
    <xdr:clientData/>
  </xdr:twoCellAnchor>
  <xdr:twoCellAnchor editAs="oneCell">
    <xdr:from>
      <xdr:col>5</xdr:col>
      <xdr:colOff>133065</xdr:colOff>
      <xdr:row>21</xdr:row>
      <xdr:rowOff>91780</xdr:rowOff>
    </xdr:from>
    <xdr:to>
      <xdr:col>7</xdr:col>
      <xdr:colOff>619836</xdr:colOff>
      <xdr:row>27</xdr:row>
      <xdr:rowOff>88900</xdr:rowOff>
    </xdr:to>
    <mc:AlternateContent xmlns:mc="http://schemas.openxmlformats.org/markup-compatibility/2006" xmlns:a14="http://schemas.microsoft.com/office/drawing/2010/main">
      <mc:Choice Requires="a14">
        <xdr:graphicFrame macro="">
          <xdr:nvGraphicFramePr>
            <xdr:cNvPr id="70" name="Outlet Location Type 1">
              <a:extLst>
                <a:ext uri="{FF2B5EF4-FFF2-40B4-BE49-F238E27FC236}">
                  <a16:creationId xmlns:a16="http://schemas.microsoft.com/office/drawing/2014/main" id="{06A4CC57-F44B-483C-BC13-C674202A7A8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58156" y="4165016"/>
              <a:ext cx="1816807" cy="1160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193343</xdr:colOff>
      <xdr:row>7</xdr:row>
      <xdr:rowOff>181970</xdr:rowOff>
    </xdr:from>
    <xdr:to>
      <xdr:col>17</xdr:col>
      <xdr:colOff>102358</xdr:colOff>
      <xdr:row>9</xdr:row>
      <xdr:rowOff>45492</xdr:rowOff>
    </xdr:to>
    <xdr:sp macro="" textlink="">
      <xdr:nvSpPr>
        <xdr:cNvPr id="72" name="TextBox 71">
          <a:extLst>
            <a:ext uri="{FF2B5EF4-FFF2-40B4-BE49-F238E27FC236}">
              <a16:creationId xmlns:a16="http://schemas.microsoft.com/office/drawing/2014/main" id="{79950C28-C11E-DBF1-026D-CC12EB2688A9}"/>
            </a:ext>
          </a:extLst>
        </xdr:cNvPr>
        <xdr:cNvSpPr txBox="1"/>
      </xdr:nvSpPr>
      <xdr:spPr>
        <a:xfrm>
          <a:off x="9587552" y="1535373"/>
          <a:ext cx="1922060" cy="250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 Establishment</a:t>
          </a:r>
        </a:p>
      </xdr:txBody>
    </xdr:sp>
    <xdr:clientData/>
  </xdr:twoCellAnchor>
  <xdr:twoCellAnchor>
    <xdr:from>
      <xdr:col>14</xdr:col>
      <xdr:colOff>79612</xdr:colOff>
      <xdr:row>17</xdr:row>
      <xdr:rowOff>131515</xdr:rowOff>
    </xdr:from>
    <xdr:to>
      <xdr:col>23</xdr:col>
      <xdr:colOff>102358</xdr:colOff>
      <xdr:row>17</xdr:row>
      <xdr:rowOff>131515</xdr:rowOff>
    </xdr:to>
    <xdr:cxnSp macro="">
      <xdr:nvCxnSpPr>
        <xdr:cNvPr id="74" name="Straight Connector 73">
          <a:extLst>
            <a:ext uri="{FF2B5EF4-FFF2-40B4-BE49-F238E27FC236}">
              <a16:creationId xmlns:a16="http://schemas.microsoft.com/office/drawing/2014/main" id="{BC524FF3-3DD2-99F1-0EA0-14FE49AE855B}"/>
            </a:ext>
          </a:extLst>
        </xdr:cNvPr>
        <xdr:cNvCxnSpPr/>
      </xdr:nvCxnSpPr>
      <xdr:spPr>
        <a:xfrm>
          <a:off x="9389867" y="3428897"/>
          <a:ext cx="60079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69684</xdr:colOff>
      <xdr:row>18</xdr:row>
      <xdr:rowOff>187969</xdr:rowOff>
    </xdr:from>
    <xdr:to>
      <xdr:col>17</xdr:col>
      <xdr:colOff>592281</xdr:colOff>
      <xdr:row>26</xdr:row>
      <xdr:rowOff>173181</xdr:rowOff>
    </xdr:to>
    <xdr:graphicFrame macro="">
      <xdr:nvGraphicFramePr>
        <xdr:cNvPr id="75" name="Chart 74">
          <a:extLst>
            <a:ext uri="{FF2B5EF4-FFF2-40B4-BE49-F238E27FC236}">
              <a16:creationId xmlns:a16="http://schemas.microsoft.com/office/drawing/2014/main" id="{62935246-A06D-4E37-9137-928459261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155295</xdr:colOff>
      <xdr:row>17</xdr:row>
      <xdr:rowOff>140406</xdr:rowOff>
    </xdr:from>
    <xdr:to>
      <xdr:col>16</xdr:col>
      <xdr:colOff>87056</xdr:colOff>
      <xdr:row>18</xdr:row>
      <xdr:rowOff>175146</xdr:rowOff>
    </xdr:to>
    <xdr:sp macro="" textlink="">
      <xdr:nvSpPr>
        <xdr:cNvPr id="76" name="TextBox 75">
          <a:extLst>
            <a:ext uri="{FF2B5EF4-FFF2-40B4-BE49-F238E27FC236}">
              <a16:creationId xmlns:a16="http://schemas.microsoft.com/office/drawing/2014/main" id="{6352373F-46B5-8D42-57CF-782228533962}"/>
            </a:ext>
          </a:extLst>
        </xdr:cNvPr>
        <xdr:cNvSpPr txBox="1"/>
      </xdr:nvSpPr>
      <xdr:spPr>
        <a:xfrm>
          <a:off x="9465550" y="3437788"/>
          <a:ext cx="1261797" cy="228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 Size</a:t>
          </a:r>
        </a:p>
      </xdr:txBody>
    </xdr:sp>
    <xdr:clientData/>
  </xdr:twoCellAnchor>
  <xdr:twoCellAnchor>
    <xdr:from>
      <xdr:col>14</xdr:col>
      <xdr:colOff>204716</xdr:colOff>
      <xdr:row>8</xdr:row>
      <xdr:rowOff>11373</xdr:rowOff>
    </xdr:from>
    <xdr:to>
      <xdr:col>23</xdr:col>
      <xdr:colOff>22747</xdr:colOff>
      <xdr:row>18</xdr:row>
      <xdr:rowOff>27711</xdr:rowOff>
    </xdr:to>
    <xdr:graphicFrame macro="">
      <xdr:nvGraphicFramePr>
        <xdr:cNvPr id="77" name="Chart 76">
          <a:extLst>
            <a:ext uri="{FF2B5EF4-FFF2-40B4-BE49-F238E27FC236}">
              <a16:creationId xmlns:a16="http://schemas.microsoft.com/office/drawing/2014/main" id="{A094BB9A-EF73-4D32-816A-D0C656F4B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54264</xdr:colOff>
      <xdr:row>17</xdr:row>
      <xdr:rowOff>150090</xdr:rowOff>
    </xdr:from>
    <xdr:to>
      <xdr:col>20</xdr:col>
      <xdr:colOff>130464</xdr:colOff>
      <xdr:row>19</xdr:row>
      <xdr:rowOff>35791</xdr:rowOff>
    </xdr:to>
    <xdr:sp macro="" textlink="">
      <xdr:nvSpPr>
        <xdr:cNvPr id="79" name="TextBox 78">
          <a:extLst>
            <a:ext uri="{FF2B5EF4-FFF2-40B4-BE49-F238E27FC236}">
              <a16:creationId xmlns:a16="http://schemas.microsoft.com/office/drawing/2014/main" id="{7F4A014F-08B1-47E9-3398-535ECCF05AF8}"/>
            </a:ext>
          </a:extLst>
        </xdr:cNvPr>
        <xdr:cNvSpPr txBox="1"/>
      </xdr:nvSpPr>
      <xdr:spPr>
        <a:xfrm>
          <a:off x="12024591" y="3447472"/>
          <a:ext cx="1406237" cy="27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 Location</a:t>
          </a:r>
        </a:p>
      </xdr:txBody>
    </xdr:sp>
    <xdr:clientData/>
  </xdr:twoCellAnchor>
  <xdr:twoCellAnchor>
    <xdr:from>
      <xdr:col>17</xdr:col>
      <xdr:colOff>664632</xdr:colOff>
      <xdr:row>19</xdr:row>
      <xdr:rowOff>82936</xdr:rowOff>
    </xdr:from>
    <xdr:to>
      <xdr:col>21</xdr:col>
      <xdr:colOff>558797</xdr:colOff>
      <xdr:row>25</xdr:row>
      <xdr:rowOff>171064</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04B17914-4811-4D4F-93A6-782EDEFCB5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064152" y="3847216"/>
              <a:ext cx="2576405" cy="12768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180109</xdr:colOff>
      <xdr:row>27</xdr:row>
      <xdr:rowOff>96982</xdr:rowOff>
    </xdr:from>
    <xdr:to>
      <xdr:col>17</xdr:col>
      <xdr:colOff>277091</xdr:colOff>
      <xdr:row>38</xdr:row>
      <xdr:rowOff>51490</xdr:rowOff>
    </xdr:to>
    <xdr:graphicFrame macro="">
      <xdr:nvGraphicFramePr>
        <xdr:cNvPr id="33" name="Chart 32">
          <a:extLst>
            <a:ext uri="{FF2B5EF4-FFF2-40B4-BE49-F238E27FC236}">
              <a16:creationId xmlns:a16="http://schemas.microsoft.com/office/drawing/2014/main" id="{E3BBFD13-2F2E-45D7-87F2-D066A3929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277090</xdr:colOff>
      <xdr:row>27</xdr:row>
      <xdr:rowOff>124692</xdr:rowOff>
    </xdr:from>
    <xdr:to>
      <xdr:col>20</xdr:col>
      <xdr:colOff>235527</xdr:colOff>
      <xdr:row>38</xdr:row>
      <xdr:rowOff>120764</xdr:rowOff>
    </xdr:to>
    <xdr:graphicFrame macro="">
      <xdr:nvGraphicFramePr>
        <xdr:cNvPr id="34" name="Chart 33">
          <a:extLst>
            <a:ext uri="{FF2B5EF4-FFF2-40B4-BE49-F238E27FC236}">
              <a16:creationId xmlns:a16="http://schemas.microsoft.com/office/drawing/2014/main" id="{E464C437-2719-44EA-94D2-6BC98E166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263236</xdr:colOff>
      <xdr:row>27</xdr:row>
      <xdr:rowOff>124691</xdr:rowOff>
    </xdr:from>
    <xdr:to>
      <xdr:col>23</xdr:col>
      <xdr:colOff>95891</xdr:colOff>
      <xdr:row>38</xdr:row>
      <xdr:rowOff>65344</xdr:rowOff>
    </xdr:to>
    <xdr:graphicFrame macro="">
      <xdr:nvGraphicFramePr>
        <xdr:cNvPr id="36" name="Chart 35">
          <a:extLst>
            <a:ext uri="{FF2B5EF4-FFF2-40B4-BE49-F238E27FC236}">
              <a16:creationId xmlns:a16="http://schemas.microsoft.com/office/drawing/2014/main" id="{76AB7A59-15AE-4204-9BCA-8283E448A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166254</xdr:colOff>
      <xdr:row>26</xdr:row>
      <xdr:rowOff>166254</xdr:rowOff>
    </xdr:from>
    <xdr:to>
      <xdr:col>16</xdr:col>
      <xdr:colOff>180109</xdr:colOff>
      <xdr:row>29</xdr:row>
      <xdr:rowOff>41564</xdr:rowOff>
    </xdr:to>
    <xdr:sp macro="" textlink="">
      <xdr:nvSpPr>
        <xdr:cNvPr id="37" name="TextBox 36">
          <a:extLst>
            <a:ext uri="{FF2B5EF4-FFF2-40B4-BE49-F238E27FC236}">
              <a16:creationId xmlns:a16="http://schemas.microsoft.com/office/drawing/2014/main" id="{F3B581B9-8AAC-3794-3B22-BA3CEB20C310}"/>
            </a:ext>
          </a:extLst>
        </xdr:cNvPr>
        <xdr:cNvSpPr txBox="1"/>
      </xdr:nvSpPr>
      <xdr:spPr>
        <a:xfrm>
          <a:off x="9476509" y="5209309"/>
          <a:ext cx="1343891"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 Type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0.29714</cdr:x>
      <cdr:y>0.47668</cdr:y>
    </cdr:from>
    <cdr:to>
      <cdr:x>0.72234</cdr:x>
      <cdr:y>0.63828</cdr:y>
    </cdr:to>
    <cdr:sp macro="" textlink="">
      <cdr:nvSpPr>
        <cdr:cNvPr id="5" name="TextBox 4">
          <a:extLst xmlns:a="http://schemas.openxmlformats.org/drawingml/2006/main">
            <a:ext uri="{FF2B5EF4-FFF2-40B4-BE49-F238E27FC236}">
              <a16:creationId xmlns:a16="http://schemas.microsoft.com/office/drawing/2014/main" id="{7BEBD172-0984-BE56-25B8-24DDC48D596A}"/>
            </a:ext>
          </a:extLst>
        </cdr:cNvPr>
        <cdr:cNvSpPr txBox="1"/>
      </cdr:nvSpPr>
      <cdr:spPr>
        <a:xfrm xmlns:a="http://schemas.openxmlformats.org/drawingml/2006/main">
          <a:off x="575522" y="685101"/>
          <a:ext cx="823540" cy="2322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Total</a:t>
          </a:r>
          <a:r>
            <a:rPr lang="en-IN" sz="1100" b="1" kern="1200" baseline="0"/>
            <a:t> sales</a:t>
          </a:r>
          <a:endParaRPr lang="en-IN" sz="1100" b="1"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9</xdr:col>
      <xdr:colOff>571500</xdr:colOff>
      <xdr:row>4</xdr:row>
      <xdr:rowOff>137161</xdr:rowOff>
    </xdr:from>
    <xdr:to>
      <xdr:col>12</xdr:col>
      <xdr:colOff>388620</xdr:colOff>
      <xdr:row>11</xdr:row>
      <xdr:rowOff>83821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3617C06-E668-D24E-844D-E4FBE9AEDEE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892676" y="914102"/>
              <a:ext cx="1834179" cy="1306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1</xdr:row>
      <xdr:rowOff>68580</xdr:rowOff>
    </xdr:from>
    <xdr:to>
      <xdr:col>12</xdr:col>
      <xdr:colOff>152400</xdr:colOff>
      <xdr:row>14</xdr:row>
      <xdr:rowOff>188595</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A035B6AE-1B9C-52FF-4B71-A66F27AECB4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656456" y="262815"/>
              <a:ext cx="1834179" cy="2645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415290</xdr:colOff>
      <xdr:row>1</xdr:row>
      <xdr:rowOff>11430</xdr:rowOff>
    </xdr:from>
    <xdr:to>
      <xdr:col>15</xdr:col>
      <xdr:colOff>293370</xdr:colOff>
      <xdr:row>14</xdr:row>
      <xdr:rowOff>179070</xdr:rowOff>
    </xdr:to>
    <xdr:graphicFrame macro="">
      <xdr:nvGraphicFramePr>
        <xdr:cNvPr id="7" name="Chart 6">
          <a:extLst>
            <a:ext uri="{FF2B5EF4-FFF2-40B4-BE49-F238E27FC236}">
              <a16:creationId xmlns:a16="http://schemas.microsoft.com/office/drawing/2014/main" id="{FC748887-8628-B1F7-573F-BCF75C1B2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422910</xdr:colOff>
      <xdr:row>11</xdr:row>
      <xdr:rowOff>171450</xdr:rowOff>
    </xdr:from>
    <xdr:to>
      <xdr:col>12</xdr:col>
      <xdr:colOff>300990</xdr:colOff>
      <xdr:row>25</xdr:row>
      <xdr:rowOff>140970</xdr:rowOff>
    </xdr:to>
    <xdr:graphicFrame macro="">
      <xdr:nvGraphicFramePr>
        <xdr:cNvPr id="9" name="Chart 8">
          <a:extLst>
            <a:ext uri="{FF2B5EF4-FFF2-40B4-BE49-F238E27FC236}">
              <a16:creationId xmlns:a16="http://schemas.microsoft.com/office/drawing/2014/main" id="{51EA7919-1A1B-63EC-CE49-81A9A6B54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247650</xdr:colOff>
      <xdr:row>31</xdr:row>
      <xdr:rowOff>102870</xdr:rowOff>
    </xdr:from>
    <xdr:to>
      <xdr:col>12</xdr:col>
      <xdr:colOff>125730</xdr:colOff>
      <xdr:row>45</xdr:row>
      <xdr:rowOff>72390</xdr:rowOff>
    </xdr:to>
    <xdr:graphicFrame macro="">
      <xdr:nvGraphicFramePr>
        <xdr:cNvPr id="13" name="Chart 12">
          <a:extLst>
            <a:ext uri="{FF2B5EF4-FFF2-40B4-BE49-F238E27FC236}">
              <a16:creationId xmlns:a16="http://schemas.microsoft.com/office/drawing/2014/main" id="{92558242-5B2F-5183-6DD5-A58647D0E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228888</xdr:colOff>
      <xdr:row>23</xdr:row>
      <xdr:rowOff>171380</xdr:rowOff>
    </xdr:from>
    <xdr:to>
      <xdr:col>14</xdr:col>
      <xdr:colOff>46007</xdr:colOff>
      <xdr:row>30</xdr:row>
      <xdr:rowOff>31056</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05706E2F-5E28-C81F-4108-7E68E18177B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894770" y="4638792"/>
              <a:ext cx="1834178" cy="1219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415290</xdr:colOff>
      <xdr:row>49</xdr:row>
      <xdr:rowOff>57150</xdr:rowOff>
    </xdr:from>
    <xdr:to>
      <xdr:col>16</xdr:col>
      <xdr:colOff>293370</xdr:colOff>
      <xdr:row>63</xdr:row>
      <xdr:rowOff>26670</xdr:rowOff>
    </xdr:to>
    <xdr:graphicFrame macro="">
      <xdr:nvGraphicFramePr>
        <xdr:cNvPr id="17" name="Chart 16">
          <a:extLst>
            <a:ext uri="{FF2B5EF4-FFF2-40B4-BE49-F238E27FC236}">
              <a16:creationId xmlns:a16="http://schemas.microsoft.com/office/drawing/2014/main" id="{CE5B894B-6501-119F-F765-CC3013163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491490</xdr:colOff>
      <xdr:row>44</xdr:row>
      <xdr:rowOff>140970</xdr:rowOff>
    </xdr:from>
    <xdr:to>
      <xdr:col>10</xdr:col>
      <xdr:colOff>133350</xdr:colOff>
      <xdr:row>58</xdr:row>
      <xdr:rowOff>110490</xdr:rowOff>
    </xdr:to>
    <xdr:graphicFrame macro="">
      <xdr:nvGraphicFramePr>
        <xdr:cNvPr id="20" name="Chart 19">
          <a:extLst>
            <a:ext uri="{FF2B5EF4-FFF2-40B4-BE49-F238E27FC236}">
              <a16:creationId xmlns:a16="http://schemas.microsoft.com/office/drawing/2014/main" id="{8B4DB66D-59BB-24C8-1568-82064DF9E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92869</xdr:colOff>
      <xdr:row>30</xdr:row>
      <xdr:rowOff>170021</xdr:rowOff>
    </xdr:from>
    <xdr:to>
      <xdr:col>16</xdr:col>
      <xdr:colOff>588170</xdr:colOff>
      <xdr:row>44</xdr:row>
      <xdr:rowOff>31909</xdr:rowOff>
    </xdr:to>
    <mc:AlternateContent xmlns:mc="http://schemas.openxmlformats.org/markup-compatibility/2006" xmlns:a14="http://schemas.microsoft.com/office/drawing/2010/main">
      <mc:Choice Requires="a14">
        <xdr:graphicFrame macro="">
          <xdr:nvGraphicFramePr>
            <xdr:cNvPr id="26" name="Outlet Location Type 2">
              <a:extLst>
                <a:ext uri="{FF2B5EF4-FFF2-40B4-BE49-F238E27FC236}">
                  <a16:creationId xmlns:a16="http://schemas.microsoft.com/office/drawing/2014/main" id="{700019FE-6184-DE51-25CB-D9524A2EA728}"/>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0775810" y="5997080"/>
              <a:ext cx="1840006" cy="2581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431321</xdr:colOff>
      <xdr:row>64</xdr:row>
      <xdr:rowOff>177561</xdr:rowOff>
    </xdr:from>
    <xdr:to>
      <xdr:col>11</xdr:col>
      <xdr:colOff>323491</xdr:colOff>
      <xdr:row>78</xdr:row>
      <xdr:rowOff>102799</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CEE71206-F087-0A02-0768-4E12550022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85261" y="12857241"/>
              <a:ext cx="4586090" cy="26989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596257</xdr:colOff>
      <xdr:row>81</xdr:row>
      <xdr:rowOff>190622</xdr:rowOff>
    </xdr:from>
    <xdr:to>
      <xdr:col>7</xdr:col>
      <xdr:colOff>319026</xdr:colOff>
      <xdr:row>88</xdr:row>
      <xdr:rowOff>70884</xdr:rowOff>
    </xdr:to>
    <xdr:graphicFrame macro="">
      <xdr:nvGraphicFramePr>
        <xdr:cNvPr id="3" name="Chart 2">
          <a:extLst>
            <a:ext uri="{FF2B5EF4-FFF2-40B4-BE49-F238E27FC236}">
              <a16:creationId xmlns:a16="http://schemas.microsoft.com/office/drawing/2014/main" id="{360FACF7-2463-92E2-FA45-59A6DCAEC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472732</xdr:colOff>
      <xdr:row>81</xdr:row>
      <xdr:rowOff>192880</xdr:rowOff>
    </xdr:from>
    <xdr:to>
      <xdr:col>14</xdr:col>
      <xdr:colOff>195500</xdr:colOff>
      <xdr:row>88</xdr:row>
      <xdr:rowOff>73142</xdr:rowOff>
    </xdr:to>
    <xdr:graphicFrame macro="">
      <xdr:nvGraphicFramePr>
        <xdr:cNvPr id="5" name="Chart 4">
          <a:extLst>
            <a:ext uri="{FF2B5EF4-FFF2-40B4-BE49-F238E27FC236}">
              <a16:creationId xmlns:a16="http://schemas.microsoft.com/office/drawing/2014/main" id="{CD4ADB9D-E419-C696-C0AC-33F321907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330792</xdr:colOff>
      <xdr:row>81</xdr:row>
      <xdr:rowOff>193923</xdr:rowOff>
    </xdr:from>
    <xdr:to>
      <xdr:col>21</xdr:col>
      <xdr:colOff>53164</xdr:colOff>
      <xdr:row>88</xdr:row>
      <xdr:rowOff>74185</xdr:rowOff>
    </xdr:to>
    <xdr:graphicFrame macro="">
      <xdr:nvGraphicFramePr>
        <xdr:cNvPr id="6" name="Chart 5">
          <a:extLst>
            <a:ext uri="{FF2B5EF4-FFF2-40B4-BE49-F238E27FC236}">
              <a16:creationId xmlns:a16="http://schemas.microsoft.com/office/drawing/2014/main" id="{913822B0-E6A8-2FDE-91D8-008F9C43B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dradevi S" refreshedDate="45874.939852199073" createdVersion="8" refreshedVersion="8" minRefreshableVersion="3" recordCount="8523" xr:uid="{14304B11-A06F-43CA-8E5D-8EB76A3DB7CC}">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28949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126D2-B6EC-46F4-9041-BD316649318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B68" firstHeaderRow="1" firstDataRow="1" firstDataCol="1"/>
  <pivotFields count="12">
    <pivotField showAll="0"/>
    <pivotField showAll="0"/>
    <pivotField showAll="0"/>
    <pivotField showAll="0"/>
    <pivotField showAll="0"/>
    <pivotField axis="axisRow" showAll="0" sortType="descending">
      <items count="4">
        <item x="1"/>
        <item x="2"/>
        <item x="0"/>
        <item t="default"/>
      </items>
    </pivotField>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numFmtId="171"/>
  </dataFields>
  <formats count="2">
    <format dxfId="1">
      <pivotArea outline="0" collapsedLevelsAreSubtotals="1" fieldPosition="0"/>
    </format>
    <format dxfId="0">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70423-0E17-4D96-A32D-B97F5006F4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6"/>
    <dataField name="Count of Item Identifier" fld="1" subtotal="count" baseField="0" baseItem="0"/>
    <dataField name="Average of Rating" fld="11" subtotal="average" baseField="0" baseItem="1" numFmtId="165"/>
  </dataFields>
  <formats count="3">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0F000-4257-4B36-8BE5-B5F0EC3857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0:B13" firstHeaderRow="1" firstDataRow="1" firstDataCol="1"/>
  <pivotFields count="12">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2">
    <format dxfId="6">
      <pivotArea collapsedLevelsAreSubtotals="1" fieldPosition="0">
        <references count="1">
          <reference field="0" count="0"/>
        </references>
      </pivotArea>
    </format>
    <format dxfId="5">
      <pivotArea grandRow="1"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1"/>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CBE00-7B7B-4536-9A78-76AB031C70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4:B54"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70"/>
  </dataFields>
  <formats count="1">
    <format dxfId="7">
      <pivotArea outline="0" collapsedLevelsAreSubtotals="1" fieldPosition="0"/>
    </format>
  </formats>
  <chartFormats count="2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8"/>
          </reference>
        </references>
      </pivotArea>
    </chartFormat>
    <chartFormat chart="10" format="2">
      <pivotArea type="data" outline="0" fieldPosition="0">
        <references count="2">
          <reference field="4294967294" count="1" selected="0">
            <x v="0"/>
          </reference>
          <reference field="3" count="1" selected="0">
            <x v="7"/>
          </reference>
        </references>
      </pivotArea>
    </chartFormat>
    <chartFormat chart="10" format="3">
      <pivotArea type="data" outline="0" fieldPosition="0">
        <references count="2">
          <reference field="4294967294" count="1" selected="0">
            <x v="0"/>
          </reference>
          <reference field="3" count="1" selected="0">
            <x v="6"/>
          </reference>
        </references>
      </pivotArea>
    </chartFormat>
    <chartFormat chart="10" format="4">
      <pivotArea type="data" outline="0" fieldPosition="0">
        <references count="2">
          <reference field="4294967294" count="1" selected="0">
            <x v="0"/>
          </reference>
          <reference field="3" count="1" selected="0">
            <x v="5"/>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3"/>
          </reference>
        </references>
      </pivotArea>
    </chartFormat>
    <chartFormat chart="10" format="7">
      <pivotArea type="data" outline="0" fieldPosition="0">
        <references count="2">
          <reference field="4294967294" count="1" selected="0">
            <x v="0"/>
          </reference>
          <reference field="3" count="1" selected="0">
            <x v="2"/>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3" count="1" selected="0">
            <x v="0"/>
          </reference>
        </references>
      </pivotArea>
    </chartFormat>
    <chartFormat chart="16" format="22">
      <pivotArea type="data" outline="0" fieldPosition="0">
        <references count="2">
          <reference field="4294967294" count="1" selected="0">
            <x v="0"/>
          </reference>
          <reference field="3" count="1" selected="0">
            <x v="1"/>
          </reference>
        </references>
      </pivotArea>
    </chartFormat>
    <chartFormat chart="16" format="23">
      <pivotArea type="data" outline="0" fieldPosition="0">
        <references count="2">
          <reference field="4294967294" count="1" selected="0">
            <x v="0"/>
          </reference>
          <reference field="3" count="1" selected="0">
            <x v="2"/>
          </reference>
        </references>
      </pivotArea>
    </chartFormat>
    <chartFormat chart="16" format="24">
      <pivotArea type="data" outline="0" fieldPosition="0">
        <references count="2">
          <reference field="4294967294" count="1" selected="0">
            <x v="0"/>
          </reference>
          <reference field="3" count="1" selected="0">
            <x v="3"/>
          </reference>
        </references>
      </pivotArea>
    </chartFormat>
    <chartFormat chart="16" format="25">
      <pivotArea type="data" outline="0" fieldPosition="0">
        <references count="2">
          <reference field="4294967294" count="1" selected="0">
            <x v="0"/>
          </reference>
          <reference field="3" count="1" selected="0">
            <x v="4"/>
          </reference>
        </references>
      </pivotArea>
    </chartFormat>
    <chartFormat chart="16" format="26">
      <pivotArea type="data" outline="0" fieldPosition="0">
        <references count="2">
          <reference field="4294967294" count="1" selected="0">
            <x v="0"/>
          </reference>
          <reference field="3" count="1" selected="0">
            <x v="5"/>
          </reference>
        </references>
      </pivotArea>
    </chartFormat>
    <chartFormat chart="16" format="27">
      <pivotArea type="data" outline="0" fieldPosition="0">
        <references count="2">
          <reference field="4294967294" count="1" selected="0">
            <x v="0"/>
          </reference>
          <reference field="3" count="1" selected="0">
            <x v="6"/>
          </reference>
        </references>
      </pivotArea>
    </chartFormat>
    <chartFormat chart="16" format="28">
      <pivotArea type="data" outline="0" fieldPosition="0">
        <references count="2">
          <reference field="4294967294" count="1" selected="0">
            <x v="0"/>
          </reference>
          <reference field="3" count="1" selected="0">
            <x v="7"/>
          </reference>
        </references>
      </pivotArea>
    </chartFormat>
    <chartFormat chart="16"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830A91-193F-405B-8E64-2BC67F9BAF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9:B104" firstHeaderRow="1" firstDataRow="1" firstDataCol="1"/>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5">
    <i>
      <x v="2"/>
    </i>
    <i>
      <x v="3"/>
    </i>
    <i>
      <x/>
    </i>
    <i>
      <x v="1"/>
    </i>
    <i t="grand">
      <x/>
    </i>
  </rowItems>
  <colItems count="1">
    <i/>
  </colItems>
  <dataFields count="1">
    <dataField name="Count of Item Type" fld="2" subtotal="count" baseField="0" baseItem="0" numFmtId="174"/>
  </dataFields>
  <formats count="2">
    <format dxfId="9">
      <pivotArea dataOnly="0" labelOnly="1" outline="0" axis="axisValues" fieldPosition="0"/>
    </format>
    <format dxfId="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5F680D-E30E-40E2-9DE1-1557B492EE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B61"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71"/>
  </dataFields>
  <formats count="1">
    <format dxfId="10">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2"/>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AD6179-146B-499B-8BD0-0258EA1827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1:B86" firstHeaderRow="1" firstDataRow="1" firstDataCol="1"/>
  <pivotFields count="12">
    <pivotField showAll="0"/>
    <pivotField showAll="0"/>
    <pivotField showAll="0"/>
    <pivotField showAll="0"/>
    <pivotField showAll="0"/>
    <pivotField showAll="0"/>
    <pivotField showAll="0"/>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i>
    <i>
      <x v="1"/>
    </i>
    <i>
      <x v="3"/>
    </i>
    <i>
      <x v="2"/>
    </i>
    <i t="grand">
      <x/>
    </i>
  </rowItems>
  <colItems count="1">
    <i/>
  </colItems>
  <dataFields count="1">
    <dataField name="Sum of Sales" fld="10" baseField="0" baseItem="0" numFmtId="172"/>
  </dataFields>
  <formats count="1">
    <format dxfId="11">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717C60-6DFC-4911-BAD6-CE18848FCC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0:B95" firstHeaderRow="1" firstDataRow="1" firstDataCol="1"/>
  <pivotFields count="12">
    <pivotField showAll="0"/>
    <pivotField showAll="0"/>
    <pivotField showAll="0"/>
    <pivotField showAll="0"/>
    <pivotField showAll="0"/>
    <pivotField showAll="0"/>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3"/>
    </i>
    <i>
      <x/>
    </i>
    <i>
      <x v="1"/>
    </i>
    <i>
      <x v="2"/>
    </i>
    <i t="grand">
      <x/>
    </i>
  </rowItems>
  <colItems count="1">
    <i/>
  </colItems>
  <dataFields count="1">
    <dataField name="Average of Sales" fld="10" subtotal="average" baseField="7" baseItem="0" numFmtId="173"/>
  </dataFields>
  <formats count="2">
    <format dxfId="13">
      <pivotArea dataOnly="0" labelOnly="1" outline="0" axis="axisValues" fieldPosition="0"/>
    </format>
    <format dxfId="12">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7B1F04-70C3-41A5-BB9C-895476D584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6:D41" firstHeaderRow="1" firstDataRow="2" firstDataCol="1"/>
  <pivotFields count="12">
    <pivotField axis="axisCol" showAll="0">
      <items count="3">
        <item x="1"/>
        <item x="0"/>
        <item t="default"/>
      </items>
    </pivotField>
    <pivotField showAll="0"/>
    <pivotField showAll="0"/>
    <pivotField showAll="0"/>
    <pivotField showAll="0"/>
    <pivotField axis="axisRow" multipleItemSelectionAllowed="1"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formats count="1">
    <format dxfId="14">
      <pivotArea collapsedLevelsAreSubtotals="1" fieldPosition="0">
        <references count="1">
          <reference field="5" count="0"/>
        </references>
      </pivotArea>
    </format>
  </formats>
  <chartFormats count="5">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2">
          <reference field="4294967294" count="1" selected="0">
            <x v="0"/>
          </reference>
          <reference field="0"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20" format="6" series="1">
      <pivotArea type="data" outline="0" fieldPosition="0">
        <references count="2">
          <reference field="4294967294" count="1" selected="0">
            <x v="0"/>
          </reference>
          <reference field="0" count="1" selected="0">
            <x v="0"/>
          </reference>
        </references>
      </pivotArea>
    </chartFormat>
    <chartFormat chart="20"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AC47AF-4281-48CF-B631-882EADB121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6:B33"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8"/>
  </dataFields>
  <formats count="1">
    <format dxfId="15">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BCB514C-BAEC-479D-AB25-DFF183B7B9DF}" sourceName="Outlet Size">
  <pivotTables>
    <pivotTable tabId="11" name="PivotTable2"/>
  </pivotTables>
  <data>
    <tabular pivotCacheId="1828949344">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E6BA76B-FC01-4926-A23E-19522C850B73}" sourceName="Item Type">
  <pivotTables>
    <pivotTable tabId="11" name="PivotTable2"/>
  </pivotTables>
  <data>
    <tabular pivotCacheId="182894934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4C881B0-EA8D-49DC-B3BF-9A4116BD5293}" sourceName="Outlet Location Type">
  <pivotTables>
    <pivotTable tabId="11" name="PivotTable5"/>
  </pivotTables>
  <data>
    <tabular pivotCacheId="18289493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4D4A9EE-2F85-4124-8575-B990C718C293}" cache="Slicer_Outlet_Size" caption="Outlet Size" style="SlicerStyleLight2 2" rowHeight="260350"/>
  <slicer name="Item Type 1" xr10:uid="{4895E7D9-AE27-45DA-87CC-6EDACC0AF65A}" cache="Slicer_Item_Type" caption="Item Type" style="SlicerStyleLight2 2" rowHeight="260350"/>
  <slicer name="Outlet Location Type 1" xr10:uid="{9952F894-F767-4E8C-95D7-208B7D8EFD9C}" cache="Slicer_Outlet_Location_Type" caption="Outlet Location Type" style="SlicerStyleLight2 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AF9844-F2E2-4A61-AA54-F85ED3BB8299}" cache="Slicer_Outlet_Size" caption="Outlet Size" rowHeight="260350"/>
  <slicer name="Item Type" xr10:uid="{EC8B39F0-315C-42BD-A808-25324D0DDB25}" cache="Slicer_Item_Type" caption="Item Type" startItem="8" rowHeight="260350"/>
  <slicer name="Outlet Location Type" xr10:uid="{7CC7C6A8-5036-43AA-AA0C-7B0DC09E4271}" cache="Slicer_Outlet_Location_Type" caption="Outlet Location Type" rowHeight="260350"/>
  <slicer name="Outlet Location Type 2" xr10:uid="{5FA94E80-8C00-464E-8E83-235EA3A8D355}" cache="Slicer_Outlet_Location_Type" caption="Outlet Location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sqref="A1: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F537-1671-4ED0-AC6C-BCAAC605924E}">
  <dimension ref="C15"/>
  <sheetViews>
    <sheetView showGridLines="0" tabSelected="1" zoomScale="55" zoomScaleNormal="55" workbookViewId="0">
      <selection activeCell="D9" sqref="D9"/>
    </sheetView>
  </sheetViews>
  <sheetFormatPr defaultRowHeight="15.6" x14ac:dyDescent="0.3"/>
  <sheetData>
    <row r="15" spans="3:3" x14ac:dyDescent="0.3">
      <c r="C1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1F8C-F9A0-4AB7-B3B6-C1477FEE89BB}">
  <dimension ref="A3:D104"/>
  <sheetViews>
    <sheetView topLeftCell="E73" zoomScale="86" workbookViewId="0">
      <selection activeCell="I87" sqref="I87"/>
    </sheetView>
  </sheetViews>
  <sheetFormatPr defaultRowHeight="15.6" x14ac:dyDescent="0.3"/>
  <cols>
    <col min="1" max="1" width="11.3984375" bestFit="1" customWidth="1"/>
    <col min="2" max="2" width="15.69921875" bestFit="1" customWidth="1"/>
    <col min="3" max="3" width="20.8984375" bestFit="1" customWidth="1"/>
    <col min="4" max="4" width="15.69921875" bestFit="1" customWidth="1"/>
  </cols>
  <sheetData>
    <row r="3" spans="1:4" x14ac:dyDescent="0.3">
      <c r="A3" t="s">
        <v>1610</v>
      </c>
      <c r="B3" t="s">
        <v>1611</v>
      </c>
      <c r="C3" t="s">
        <v>1612</v>
      </c>
      <c r="D3" t="s">
        <v>1613</v>
      </c>
    </row>
    <row r="4" spans="1:4" x14ac:dyDescent="0.3">
      <c r="A4" s="1">
        <v>248991.5860000001</v>
      </c>
      <c r="B4" s="3">
        <v>142.03741357672567</v>
      </c>
      <c r="C4">
        <v>1753</v>
      </c>
      <c r="D4" s="2">
        <v>3.9453508271534479</v>
      </c>
    </row>
    <row r="5" spans="1:4" x14ac:dyDescent="0.3">
      <c r="A5" s="1"/>
      <c r="B5" s="3"/>
      <c r="D5" s="2"/>
    </row>
    <row r="6" spans="1:4" x14ac:dyDescent="0.3">
      <c r="A6" s="1">
        <f>GETPIVOTDATA("Sum of Sales",$A$3)</f>
        <v>248991.5860000001</v>
      </c>
      <c r="B6" s="3">
        <f>GETPIVOTDATA("Average of Sales2",$A$3)</f>
        <v>142.03741357672567</v>
      </c>
      <c r="C6">
        <f>GETPIVOTDATA("Count of Item Identifier",$A$3)</f>
        <v>1753</v>
      </c>
      <c r="D6" s="2">
        <f>GETPIVOTDATA("Average of Rating",$A$3)</f>
        <v>3.9453508271534479</v>
      </c>
    </row>
    <row r="10" spans="1:4" x14ac:dyDescent="0.3">
      <c r="A10" s="4" t="s">
        <v>1614</v>
      </c>
      <c r="B10" t="s">
        <v>1610</v>
      </c>
    </row>
    <row r="11" spans="1:4" x14ac:dyDescent="0.3">
      <c r="A11" s="5" t="s">
        <v>17</v>
      </c>
      <c r="B11" s="6">
        <v>776319.68840000057</v>
      </c>
    </row>
    <row r="12" spans="1:4" x14ac:dyDescent="0.3">
      <c r="A12" s="5" t="s">
        <v>10</v>
      </c>
      <c r="B12" s="6">
        <v>425361.8043999995</v>
      </c>
    </row>
    <row r="13" spans="1:4" x14ac:dyDescent="0.3">
      <c r="A13" s="5" t="s">
        <v>1615</v>
      </c>
      <c r="B13" s="1">
        <v>1201681.4928000001</v>
      </c>
      <c r="C13" s="1">
        <f>GETPIVOTDATA("Sales",$A$10)</f>
        <v>1201681.4928000001</v>
      </c>
    </row>
    <row r="16" spans="1:4" x14ac:dyDescent="0.3">
      <c r="A16" s="4" t="s">
        <v>1614</v>
      </c>
      <c r="B16" t="s">
        <v>1610</v>
      </c>
    </row>
    <row r="17" spans="1:2" x14ac:dyDescent="0.3">
      <c r="A17" s="5" t="s">
        <v>153</v>
      </c>
      <c r="B17" s="7">
        <v>9077.869999999999</v>
      </c>
    </row>
    <row r="18" spans="1:2" x14ac:dyDescent="0.3">
      <c r="A18" s="5" t="s">
        <v>74</v>
      </c>
      <c r="B18" s="7">
        <v>15596.696600000001</v>
      </c>
    </row>
    <row r="19" spans="1:2" x14ac:dyDescent="0.3">
      <c r="A19" s="5" t="s">
        <v>159</v>
      </c>
      <c r="B19" s="7">
        <v>21880.027399999992</v>
      </c>
    </row>
    <row r="20" spans="1:2" x14ac:dyDescent="0.3">
      <c r="A20" s="5" t="s">
        <v>64</v>
      </c>
      <c r="B20" s="7">
        <v>22451.891599999999</v>
      </c>
    </row>
    <row r="21" spans="1:2" x14ac:dyDescent="0.3">
      <c r="A21" s="5" t="s">
        <v>61</v>
      </c>
      <c r="B21" s="7">
        <v>29334.680599999996</v>
      </c>
    </row>
    <row r="22" spans="1:2" x14ac:dyDescent="0.3">
      <c r="A22" s="5" t="s">
        <v>57</v>
      </c>
      <c r="B22" s="7">
        <v>35379.119800000015</v>
      </c>
    </row>
    <row r="23" spans="1:2" x14ac:dyDescent="0.3">
      <c r="A23" s="5" t="s">
        <v>32</v>
      </c>
      <c r="B23" s="7">
        <v>58514.166999999987</v>
      </c>
    </row>
    <row r="24" spans="1:2" x14ac:dyDescent="0.3">
      <c r="A24" s="5" t="s">
        <v>54</v>
      </c>
      <c r="B24" s="7">
        <v>59449.863799999992</v>
      </c>
    </row>
    <row r="25" spans="1:2" x14ac:dyDescent="0.3">
      <c r="A25" s="5" t="s">
        <v>19</v>
      </c>
      <c r="B25" s="7">
        <v>68025.838800000012</v>
      </c>
    </row>
    <row r="26" spans="1:2" x14ac:dyDescent="0.3">
      <c r="A26" s="5" t="s">
        <v>95</v>
      </c>
      <c r="B26" s="7">
        <v>81894.736400000009</v>
      </c>
    </row>
    <row r="27" spans="1:2" x14ac:dyDescent="0.3">
      <c r="A27" s="5" t="s">
        <v>28</v>
      </c>
      <c r="B27" s="7">
        <v>90706.728999999992</v>
      </c>
    </row>
    <row r="28" spans="1:2" x14ac:dyDescent="0.3">
      <c r="A28" s="5" t="s">
        <v>67</v>
      </c>
      <c r="B28" s="7">
        <v>101276.46159999995</v>
      </c>
    </row>
    <row r="29" spans="1:2" x14ac:dyDescent="0.3">
      <c r="A29" s="5" t="s">
        <v>24</v>
      </c>
      <c r="B29" s="7">
        <v>118558.88140000009</v>
      </c>
    </row>
    <row r="30" spans="1:2" x14ac:dyDescent="0.3">
      <c r="A30" s="5" t="s">
        <v>42</v>
      </c>
      <c r="B30" s="7">
        <v>135976.52539999998</v>
      </c>
    </row>
    <row r="31" spans="1:2" x14ac:dyDescent="0.3">
      <c r="A31" s="5" t="s">
        <v>48</v>
      </c>
      <c r="B31" s="7">
        <v>175433.92240000021</v>
      </c>
    </row>
    <row r="32" spans="1:2" x14ac:dyDescent="0.3">
      <c r="A32" s="5" t="s">
        <v>12</v>
      </c>
      <c r="B32" s="7">
        <v>178124.08099999995</v>
      </c>
    </row>
    <row r="33" spans="1:4" x14ac:dyDescent="0.3">
      <c r="A33" s="5" t="s">
        <v>1615</v>
      </c>
      <c r="B33" s="7">
        <v>1201681.4927999999</v>
      </c>
    </row>
    <row r="36" spans="1:4" x14ac:dyDescent="0.3">
      <c r="A36" s="4" t="s">
        <v>1610</v>
      </c>
      <c r="B36" s="4" t="s">
        <v>1616</v>
      </c>
    </row>
    <row r="37" spans="1:4" x14ac:dyDescent="0.3">
      <c r="A37" s="4" t="s">
        <v>1614</v>
      </c>
      <c r="B37" t="s">
        <v>17</v>
      </c>
      <c r="C37" t="s">
        <v>10</v>
      </c>
      <c r="D37" t="s">
        <v>1615</v>
      </c>
    </row>
    <row r="38" spans="1:4" x14ac:dyDescent="0.3">
      <c r="A38" s="5" t="s">
        <v>14</v>
      </c>
      <c r="B38" s="8">
        <v>215047.9126000001</v>
      </c>
      <c r="C38" s="8">
        <v>121349.89940000001</v>
      </c>
      <c r="D38" s="8">
        <v>336397.81200000009</v>
      </c>
    </row>
    <row r="39" spans="1:4" x14ac:dyDescent="0.3">
      <c r="A39" s="5" t="s">
        <v>34</v>
      </c>
      <c r="B39" s="8">
        <v>254464.77940000014</v>
      </c>
      <c r="C39" s="8">
        <v>138685.86819999994</v>
      </c>
      <c r="D39" s="8">
        <v>393150.64760000008</v>
      </c>
    </row>
    <row r="40" spans="1:4" x14ac:dyDescent="0.3">
      <c r="A40" s="5" t="s">
        <v>21</v>
      </c>
      <c r="B40" s="8">
        <v>306806.99640000012</v>
      </c>
      <c r="C40" s="8">
        <v>165326.0368</v>
      </c>
      <c r="D40" s="8">
        <v>472133.03320000012</v>
      </c>
    </row>
    <row r="41" spans="1:4" x14ac:dyDescent="0.3">
      <c r="A41" s="5" t="s">
        <v>1615</v>
      </c>
      <c r="B41">
        <v>776319.68840000033</v>
      </c>
      <c r="C41">
        <v>425361.80439999996</v>
      </c>
      <c r="D41">
        <v>1201681.4928000004</v>
      </c>
    </row>
    <row r="44" spans="1:4" x14ac:dyDescent="0.3">
      <c r="A44" s="4" t="s">
        <v>1614</v>
      </c>
      <c r="B44" t="s">
        <v>1610</v>
      </c>
    </row>
    <row r="45" spans="1:4" x14ac:dyDescent="0.3">
      <c r="A45" s="5">
        <v>2011</v>
      </c>
      <c r="B45" s="9">
        <v>78131.566599999976</v>
      </c>
    </row>
    <row r="46" spans="1:4" x14ac:dyDescent="0.3">
      <c r="A46" s="5">
        <v>2012</v>
      </c>
      <c r="B46" s="9">
        <v>130476.85979999998</v>
      </c>
    </row>
    <row r="47" spans="1:4" x14ac:dyDescent="0.3">
      <c r="A47" s="5">
        <v>2014</v>
      </c>
      <c r="B47" s="9">
        <v>131809.01560000007</v>
      </c>
    </row>
    <row r="48" spans="1:4" x14ac:dyDescent="0.3">
      <c r="A48" s="5">
        <v>2015</v>
      </c>
      <c r="B48" s="9">
        <v>130942.78019999999</v>
      </c>
    </row>
    <row r="49" spans="1:2" x14ac:dyDescent="0.3">
      <c r="A49" s="5">
        <v>2016</v>
      </c>
      <c r="B49" s="9">
        <v>132113.36980000007</v>
      </c>
    </row>
    <row r="50" spans="1:2" x14ac:dyDescent="0.3">
      <c r="A50" s="5">
        <v>2017</v>
      </c>
      <c r="B50" s="9">
        <v>133103.90699999989</v>
      </c>
    </row>
    <row r="51" spans="1:2" x14ac:dyDescent="0.3">
      <c r="A51" s="5">
        <v>2018</v>
      </c>
      <c r="B51" s="9">
        <v>204522.25700000025</v>
      </c>
    </row>
    <row r="52" spans="1:2" x14ac:dyDescent="0.3">
      <c r="A52" s="5">
        <v>2020</v>
      </c>
      <c r="B52" s="9">
        <v>129103.96039999987</v>
      </c>
    </row>
    <row r="53" spans="1:2" x14ac:dyDescent="0.3">
      <c r="A53" s="5">
        <v>2022</v>
      </c>
      <c r="B53" s="9">
        <v>131477.77639999994</v>
      </c>
    </row>
    <row r="54" spans="1:2" x14ac:dyDescent="0.3">
      <c r="A54" s="5" t="s">
        <v>1615</v>
      </c>
      <c r="B54" s="9">
        <v>1201681.4927999999</v>
      </c>
    </row>
    <row r="57" spans="1:2" x14ac:dyDescent="0.3">
      <c r="A57" s="4" t="s">
        <v>1614</v>
      </c>
      <c r="B57" t="s">
        <v>1610</v>
      </c>
    </row>
    <row r="58" spans="1:2" x14ac:dyDescent="0.3">
      <c r="A58" s="5" t="s">
        <v>30</v>
      </c>
      <c r="B58" s="10">
        <v>248991.58600000024</v>
      </c>
    </row>
    <row r="59" spans="1:2" x14ac:dyDescent="0.3">
      <c r="A59" s="5" t="s">
        <v>15</v>
      </c>
      <c r="B59" s="10">
        <v>507895.7363999993</v>
      </c>
    </row>
    <row r="60" spans="1:2" x14ac:dyDescent="0.3">
      <c r="A60" s="5" t="s">
        <v>26</v>
      </c>
      <c r="B60" s="10">
        <v>444794.17039999936</v>
      </c>
    </row>
    <row r="61" spans="1:2" x14ac:dyDescent="0.3">
      <c r="A61" s="5" t="s">
        <v>1615</v>
      </c>
      <c r="B61" s="10">
        <v>1201681.4927999987</v>
      </c>
    </row>
    <row r="64" spans="1:2" x14ac:dyDescent="0.3">
      <c r="A64" s="4" t="s">
        <v>1614</v>
      </c>
      <c r="B64" t="s">
        <v>1610</v>
      </c>
    </row>
    <row r="65" spans="1:4" x14ac:dyDescent="0.3">
      <c r="A65" s="5" t="s">
        <v>21</v>
      </c>
      <c r="B65" s="10">
        <v>472133.03319999954</v>
      </c>
      <c r="C65" t="str">
        <f>A65</f>
        <v>Tier 3</v>
      </c>
      <c r="D65" s="10">
        <f>GETPIVOTDATA("Sales",$A$64,"Outlet Location Type","Tier 3")</f>
        <v>472133.03319999954</v>
      </c>
    </row>
    <row r="66" spans="1:4" x14ac:dyDescent="0.3">
      <c r="A66" s="5" t="s">
        <v>34</v>
      </c>
      <c r="B66" s="10">
        <v>393150.64759999956</v>
      </c>
      <c r="C66" s="10" t="str">
        <f>A66</f>
        <v>Tier 2</v>
      </c>
      <c r="D66" s="10">
        <f>GETPIVOTDATA("Sales",$A$64,"Outlet Location Type","Tier 2")</f>
        <v>393150.64759999956</v>
      </c>
    </row>
    <row r="67" spans="1:4" x14ac:dyDescent="0.3">
      <c r="A67" s="5" t="s">
        <v>14</v>
      </c>
      <c r="B67" s="10">
        <v>336397.81199999945</v>
      </c>
      <c r="C67" s="10" t="str">
        <f>A67</f>
        <v>Tier 1</v>
      </c>
      <c r="D67" s="10">
        <f>GETPIVOTDATA("Sales",$A$64,"Outlet Location Type","Tier 1")</f>
        <v>336397.81199999945</v>
      </c>
    </row>
    <row r="68" spans="1:4" x14ac:dyDescent="0.3">
      <c r="A68" s="5" t="s">
        <v>1615</v>
      </c>
      <c r="B68" s="10">
        <v>1201681.4927999985</v>
      </c>
      <c r="C68" s="10"/>
    </row>
    <row r="81" spans="1:2" x14ac:dyDescent="0.3">
      <c r="A81" s="4" t="s">
        <v>1614</v>
      </c>
      <c r="B81" t="s">
        <v>1610</v>
      </c>
    </row>
    <row r="82" spans="1:2" x14ac:dyDescent="0.3">
      <c r="A82" s="5" t="s">
        <v>46</v>
      </c>
      <c r="B82" s="11">
        <v>130714.67460000006</v>
      </c>
    </row>
    <row r="83" spans="1:2" x14ac:dyDescent="0.3">
      <c r="A83" s="5" t="s">
        <v>22</v>
      </c>
      <c r="B83" s="11">
        <v>131477.77639999994</v>
      </c>
    </row>
    <row r="84" spans="1:2" x14ac:dyDescent="0.3">
      <c r="A84" s="5" t="s">
        <v>40</v>
      </c>
      <c r="B84" s="11">
        <v>151939.149</v>
      </c>
    </row>
    <row r="85" spans="1:2" x14ac:dyDescent="0.3">
      <c r="A85" s="5" t="s">
        <v>16</v>
      </c>
      <c r="B85" s="11">
        <v>787549.89280000131</v>
      </c>
    </row>
    <row r="86" spans="1:2" x14ac:dyDescent="0.3">
      <c r="A86" s="5" t="s">
        <v>1615</v>
      </c>
      <c r="B86" s="11">
        <v>1201681.4928000013</v>
      </c>
    </row>
    <row r="87" spans="1:2" x14ac:dyDescent="0.3">
      <c r="B87" s="11"/>
    </row>
    <row r="88" spans="1:2" x14ac:dyDescent="0.3">
      <c r="B88" s="11"/>
    </row>
    <row r="89" spans="1:2" x14ac:dyDescent="0.3">
      <c r="B89" s="11"/>
    </row>
    <row r="90" spans="1:2" x14ac:dyDescent="0.3">
      <c r="A90" s="4" t="s">
        <v>1614</v>
      </c>
      <c r="B90" s="11" t="s">
        <v>1617</v>
      </c>
    </row>
    <row r="91" spans="1:2" x14ac:dyDescent="0.3">
      <c r="A91" s="5" t="s">
        <v>46</v>
      </c>
      <c r="B91" s="12">
        <v>139.80179101604284</v>
      </c>
    </row>
    <row r="92" spans="1:2" x14ac:dyDescent="0.3">
      <c r="A92" s="5" t="s">
        <v>40</v>
      </c>
      <c r="B92" s="12">
        <v>140.29468975069253</v>
      </c>
    </row>
    <row r="93" spans="1:2" x14ac:dyDescent="0.3">
      <c r="A93" s="5" t="s">
        <v>16</v>
      </c>
      <c r="B93" s="12">
        <v>141.21389506903375</v>
      </c>
    </row>
    <row r="94" spans="1:2" x14ac:dyDescent="0.3">
      <c r="A94" s="5" t="s">
        <v>22</v>
      </c>
      <c r="B94" s="12">
        <v>141.67863836206891</v>
      </c>
    </row>
    <row r="95" spans="1:2" x14ac:dyDescent="0.3">
      <c r="A95" s="5" t="s">
        <v>1615</v>
      </c>
      <c r="B95" s="12">
        <v>140.99278338613215</v>
      </c>
    </row>
    <row r="96" spans="1:2" x14ac:dyDescent="0.3">
      <c r="B96" s="11"/>
    </row>
    <row r="97" spans="1:2" x14ac:dyDescent="0.3">
      <c r="B97" s="11"/>
    </row>
    <row r="98" spans="1:2" x14ac:dyDescent="0.3">
      <c r="B98" s="11"/>
    </row>
    <row r="99" spans="1:2" x14ac:dyDescent="0.3">
      <c r="A99" s="4" t="s">
        <v>1614</v>
      </c>
      <c r="B99" s="11" t="s">
        <v>1618</v>
      </c>
    </row>
    <row r="100" spans="1:2" x14ac:dyDescent="0.3">
      <c r="A100" s="5" t="s">
        <v>22</v>
      </c>
      <c r="B100" s="13">
        <v>928</v>
      </c>
    </row>
    <row r="101" spans="1:2" x14ac:dyDescent="0.3">
      <c r="A101" s="5" t="s">
        <v>46</v>
      </c>
      <c r="B101" s="13">
        <v>935</v>
      </c>
    </row>
    <row r="102" spans="1:2" x14ac:dyDescent="0.3">
      <c r="A102" s="5" t="s">
        <v>40</v>
      </c>
      <c r="B102" s="13">
        <v>1083</v>
      </c>
    </row>
    <row r="103" spans="1:2" x14ac:dyDescent="0.3">
      <c r="A103" s="5" t="s">
        <v>16</v>
      </c>
      <c r="B103" s="13">
        <v>5577</v>
      </c>
    </row>
    <row r="104" spans="1:2" x14ac:dyDescent="0.3">
      <c r="A104" s="5" t="s">
        <v>1615</v>
      </c>
      <c r="B104" s="13">
        <v>8523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Ravindradevi S</cp:lastModifiedBy>
  <dcterms:created xsi:type="dcterms:W3CDTF">2024-06-23T13:11:17Z</dcterms:created>
  <dcterms:modified xsi:type="dcterms:W3CDTF">2025-09-12T09:45:32Z</dcterms:modified>
</cp:coreProperties>
</file>